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<sst xmlns="http://schemas.openxmlformats.org/spreadsheetml/2006/main" count="189" uniqueCount="57">
  <si>
    <t xml:space="preserve"> </t>
  </si>
  <si>
    <t>incerteza base relógio (mm)</t>
  </si>
  <si>
    <t>g (m/s)</t>
  </si>
  <si>
    <t>incerteza base régua (mm)</t>
  </si>
  <si>
    <t>incerteza base balança (g)</t>
  </si>
  <si>
    <t>incerteza base régua (m)</t>
  </si>
  <si>
    <t>incerteza base balança (kg)</t>
  </si>
  <si>
    <t>Experimento 03/11</t>
  </si>
  <si>
    <t>Medição</t>
  </si>
  <si>
    <t>Diâmetro (mm)</t>
  </si>
  <si>
    <t>Média (mm)</t>
  </si>
  <si>
    <t>Desv. Pad (mm)</t>
  </si>
  <si>
    <t>Incerteza (mm)</t>
  </si>
  <si>
    <t>incerteza micrômetro (mm)</t>
  </si>
  <si>
    <t>L0 (mm)</t>
  </si>
  <si>
    <t>Área seção transversal (m^2)</t>
  </si>
  <si>
    <t>incerteza (m^2)</t>
  </si>
  <si>
    <t>Ensaio</t>
  </si>
  <si>
    <t>Massa (Kg)</t>
  </si>
  <si>
    <t>Força aplicada(N)</t>
  </si>
  <si>
    <t>Força / Seção Transversal (N/m^2)</t>
  </si>
  <si>
    <t>Deformação ΔL (mm)</t>
  </si>
  <si>
    <t>Deformação unitária (ΔL/L0)</t>
  </si>
  <si>
    <t>Deformação unitária (10^-3)</t>
  </si>
  <si>
    <t>Módulo de Young (Pa)</t>
  </si>
  <si>
    <t>σF</t>
  </si>
  <si>
    <t>Partes do Cálculo σF/s</t>
  </si>
  <si>
    <t>σF/s (Pa)</t>
  </si>
  <si>
    <t>σF/s (MPa)</t>
  </si>
  <si>
    <t>σΔL</t>
  </si>
  <si>
    <t>Partes do Cálculo σ(ΔL/L0)</t>
  </si>
  <si>
    <t>σ(ΔL/L0)</t>
  </si>
  <si>
    <t>σ(ΔL/L0) (10^-3)</t>
  </si>
  <si>
    <t>Comparar com o teórico</t>
  </si>
  <si>
    <t>talvez fio de aço</t>
  </si>
  <si>
    <t>talvez fio de cobre</t>
  </si>
  <si>
    <t>Experimento 05/11</t>
  </si>
  <si>
    <t>Experimento 10/11</t>
  </si>
  <si>
    <t>Rodada de experimento 1</t>
  </si>
  <si>
    <t>ΔL após o experimento, já sem os pesos (deformação plástica) = 0,05mm</t>
  </si>
  <si>
    <t>Rodada de experimento 2</t>
  </si>
  <si>
    <t>ΔL após o experimento, já sem os pesos (deformação plástica) = 0,00mm</t>
  </si>
  <si>
    <t>cobre</t>
  </si>
  <si>
    <t>coluna1aco_y</t>
  </si>
  <si>
    <t>coluna1aco_x</t>
  </si>
  <si>
    <t>coluna2aco_y</t>
  </si>
  <si>
    <t>coluna2aco_x</t>
  </si>
  <si>
    <t>coluna3aco_y</t>
  </si>
  <si>
    <t>coluna3aco_x</t>
  </si>
  <si>
    <t>coluna4aco_y</t>
  </si>
  <si>
    <t>coluna4aco_x</t>
  </si>
  <si>
    <t>coluna1cobre_y</t>
  </si>
  <si>
    <t>coluna1cobre_x</t>
  </si>
  <si>
    <t>coluna2cobre_y</t>
  </si>
  <si>
    <t>coluna2cobre_x</t>
  </si>
  <si>
    <t>coluna3cobre_y</t>
  </si>
  <si>
    <t>coluna3cobre_x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</si>
</sst>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"/>
    <numFmt numFmtId="165" formatCode="0.000000"/>
    <numFmt numFmtId="166" formatCode="0.0000"/>
    <numFmt numFmtId="167" formatCode="#,##0.0"/>
    <numFmt numFmtId="168" formatCode="0.0000000"/>
    <numFmt numFmtId="169" formatCode="#,##0.000"/>
    <numFmt numFmtId="170" formatCode="0.00000"/>
    <numFmt numFmtId="171" formatCode="#,##0.000000"/>
  </numFmts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Roboto"/>
    </font>
  </fonts>
  <fills count="1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A9999"/>
        <bgColor rgb="FFEA9999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D5A6BD"/>
        <bgColor rgb="FFD5A6BD"/>
      </patternFill>
    </fill>
    <fill>
      <patternFill patternType="solid">
        <fgColor rgb="FFF9FBFD"/>
        <bgColor rgb="FFF9FBFD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E1E3E1"/>
      </top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3" fontId="1" numFmtId="0" xfId="0" applyAlignment="1" applyFill="1" applyFont="1">
      <alignment horizontal="center" readingOrder="0" shrinkToFit="0" vertical="center" wrapText="1"/>
    </xf>
    <xf borderId="3" fillId="4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3" fillId="0" fontId="1" numFmtId="0" xfId="0" applyAlignment="1" applyBorder="1" applyFont="1">
      <alignment horizontal="center" readingOrder="0"/>
    </xf>
    <xf borderId="1" fillId="0" fontId="1" numFmtId="2" xfId="0" applyAlignment="1" applyBorder="1" applyFont="1" applyNumberFormat="1">
      <alignment horizontal="center" readingOrder="0"/>
    </xf>
    <xf borderId="3" fillId="0" fontId="1" numFmtId="164" xfId="0" applyAlignment="1" applyBorder="1" applyFont="1" applyNumberFormat="1">
      <alignment horizontal="center"/>
    </xf>
    <xf borderId="3" fillId="0" fontId="1" numFmtId="164" xfId="0" applyAlignment="1" applyBorder="1" applyFont="1" applyNumberFormat="1">
      <alignment horizontal="center" readingOrder="0" vertical="center"/>
    </xf>
    <xf borderId="3" fillId="0" fontId="1" numFmtId="164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horizontal="center" vertical="center"/>
    </xf>
    <xf borderId="4" fillId="0" fontId="1" numFmtId="0" xfId="0" applyBorder="1" applyFont="1"/>
    <xf borderId="1" fillId="4" fontId="1" numFmtId="0" xfId="0" applyAlignment="1" applyBorder="1" applyFont="1">
      <alignment horizontal="left" readingOrder="0" vertical="center"/>
    </xf>
    <xf borderId="1" fillId="4" fontId="1" numFmtId="0" xfId="0" applyAlignment="1" applyBorder="1" applyFont="1">
      <alignment horizontal="left" readingOrder="0"/>
    </xf>
    <xf borderId="3" fillId="0" fontId="1" numFmtId="11" xfId="0" applyAlignment="1" applyBorder="1" applyFont="1" applyNumberFormat="1">
      <alignment horizontal="center"/>
    </xf>
    <xf borderId="3" fillId="0" fontId="1" numFmtId="0" xfId="0" applyAlignment="1" applyBorder="1" applyFont="1">
      <alignment readingOrder="0"/>
    </xf>
    <xf borderId="3" fillId="0" fontId="1" numFmtId="11" xfId="0" applyBorder="1" applyFont="1" applyNumberFormat="1"/>
    <xf borderId="0" fillId="0" fontId="1" numFmtId="11" xfId="0" applyFont="1" applyNumberFormat="1"/>
    <xf borderId="3" fillId="4" fontId="1" numFmtId="0" xfId="0" applyAlignment="1" applyBorder="1" applyFont="1">
      <alignment horizontal="center" readingOrder="0" shrinkToFit="0" vertical="center" wrapText="1"/>
    </xf>
    <xf borderId="3" fillId="6" fontId="1" numFmtId="0" xfId="0" applyAlignment="1" applyBorder="1" applyFill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1" fillId="7" fontId="1" numFmtId="0" xfId="0" applyAlignment="1" applyBorder="1" applyFont="1">
      <alignment horizontal="center" readingOrder="0" vertical="center"/>
    </xf>
    <xf borderId="3" fillId="7" fontId="1" numFmtId="0" xfId="0" applyAlignment="1" applyBorder="1" applyFont="1">
      <alignment horizontal="center" readingOrder="0" shrinkToFit="0" vertical="center" wrapText="1"/>
    </xf>
    <xf borderId="3" fillId="0" fontId="1" numFmtId="166" xfId="0" applyAlignment="1" applyBorder="1" applyFont="1" applyNumberFormat="1">
      <alignment horizontal="center" vertical="center"/>
    </xf>
    <xf borderId="3" fillId="0" fontId="1" numFmtId="11" xfId="0" applyAlignment="1" applyBorder="1" applyFont="1" applyNumberFormat="1">
      <alignment horizontal="center" vertical="center"/>
    </xf>
    <xf borderId="3" fillId="0" fontId="1" numFmtId="11" xfId="0" applyAlignment="1" applyBorder="1" applyFont="1" applyNumberFormat="1">
      <alignment horizontal="center" readingOrder="0" vertical="center"/>
    </xf>
    <xf borderId="3" fillId="0" fontId="1" numFmtId="167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3" fillId="0" fontId="1" numFmtId="4" xfId="0" applyAlignment="1" applyBorder="1" applyFont="1" applyNumberFormat="1">
      <alignment horizontal="center" vertical="center"/>
    </xf>
    <xf borderId="5" fillId="0" fontId="1" numFmtId="165" xfId="0" applyAlignment="1" applyBorder="1" applyFont="1" applyNumberFormat="1">
      <alignment horizontal="center" vertical="center"/>
    </xf>
    <xf borderId="1" fillId="8" fontId="1" numFmtId="0" xfId="0" applyAlignment="1" applyBorder="1" applyFill="1" applyFont="1">
      <alignment horizontal="center" readingOrder="0" vertical="center"/>
    </xf>
    <xf borderId="0" fillId="0" fontId="1" numFmtId="168" xfId="0" applyAlignment="1" applyFont="1" applyNumberFormat="1">
      <alignment horizontal="center" vertical="center"/>
    </xf>
    <xf borderId="0" fillId="9" fontId="1" numFmtId="0" xfId="0" applyAlignment="1" applyFill="1" applyFont="1">
      <alignment horizontal="center" vertical="center"/>
    </xf>
    <xf borderId="0" fillId="9" fontId="1" numFmtId="0" xfId="0" applyAlignment="1" applyFont="1">
      <alignment horizontal="center" readingOrder="0" vertical="center"/>
    </xf>
    <xf borderId="0" fillId="9" fontId="1" numFmtId="0" xfId="0" applyFont="1"/>
    <xf borderId="0" fillId="0" fontId="1" numFmtId="11" xfId="0" applyAlignment="1" applyFont="1" applyNumberFormat="1">
      <alignment horizontal="center" readingOrder="0" vertical="center"/>
    </xf>
    <xf borderId="0" fillId="0" fontId="1" numFmtId="11" xfId="0" applyAlignment="1" applyFont="1" applyNumberFormat="1">
      <alignment horizontal="center" vertical="center"/>
    </xf>
    <xf borderId="0" fillId="0" fontId="1" numFmtId="169" xfId="0" applyFont="1" applyNumberFormat="1"/>
    <xf borderId="3" fillId="10" fontId="1" numFmtId="0" xfId="0" applyAlignment="1" applyBorder="1" applyFill="1" applyFont="1">
      <alignment horizontal="center" readingOrder="0" vertical="center"/>
    </xf>
    <xf borderId="1" fillId="10" fontId="1" numFmtId="0" xfId="0" applyAlignment="1" applyBorder="1" applyFon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/>
    </xf>
    <xf borderId="1" fillId="10" fontId="1" numFmtId="0" xfId="0" applyAlignment="1" applyBorder="1" applyFont="1">
      <alignment horizontal="left" readingOrder="0" vertical="center"/>
    </xf>
    <xf borderId="6" fillId="11" fontId="3" numFmtId="0" xfId="0" applyAlignment="1" applyBorder="1" applyFill="1" applyFont="1">
      <alignment vertical="top"/>
    </xf>
    <xf borderId="6" fillId="11" fontId="3" numFmtId="0" xfId="0" applyAlignment="1" applyBorder="1" applyFont="1">
      <alignment vertical="bottom"/>
    </xf>
    <xf borderId="1" fillId="10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center" readingOrder="0" shrinkToFit="0" vertical="center" wrapText="1"/>
    </xf>
    <xf borderId="3" fillId="0" fontId="1" numFmtId="166" xfId="0" applyBorder="1" applyFont="1" applyNumberFormat="1"/>
    <xf borderId="5" fillId="0" fontId="1" numFmtId="11" xfId="0" applyAlignment="1" applyBorder="1" applyFont="1" applyNumberFormat="1">
      <alignment horizontal="center"/>
    </xf>
    <xf borderId="7" fillId="0" fontId="1" numFmtId="170" xfId="0" applyAlignment="1" applyBorder="1" applyFont="1" applyNumberFormat="1">
      <alignment horizontal="center"/>
    </xf>
    <xf borderId="3" fillId="12" fontId="1" numFmtId="0" xfId="0" applyAlignment="1" applyBorder="1" applyFill="1" applyFont="1">
      <alignment horizontal="center" readingOrder="0" vertical="center"/>
    </xf>
    <xf borderId="1" fillId="12" fontId="1" numFmtId="0" xfId="0" applyAlignment="1" applyBorder="1" applyFont="1">
      <alignment horizontal="center" readingOrder="0" vertical="center"/>
    </xf>
    <xf borderId="1" fillId="12" fontId="1" numFmtId="0" xfId="0" applyAlignment="1" applyBorder="1" applyFont="1">
      <alignment horizontal="left" readingOrder="0" vertical="center"/>
    </xf>
    <xf borderId="1" fillId="12" fontId="1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/>
    </xf>
    <xf borderId="3" fillId="12" fontId="1" numFmtId="0" xfId="0" applyAlignment="1" applyBorder="1" applyFont="1">
      <alignment horizontal="center" readingOrder="0" shrinkToFit="0" vertical="center" wrapText="1"/>
    </xf>
    <xf borderId="3" fillId="0" fontId="1" numFmtId="171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8" fillId="0" fontId="2" numFmtId="0" xfId="0" applyBorder="1" applyFont="1"/>
    <xf borderId="0" fillId="0" fontId="1" numFmtId="0" xfId="0" applyAlignment="1" applyFont="1">
      <alignment readingOrder="0"/>
    </xf>
    <xf borderId="3" fillId="0" fontId="1" numFmtId="4" xfId="0" applyAlignment="1" applyBorder="1" applyFont="1" applyNumberFormat="1">
      <alignment horizontal="center" readingOrder="0" vertical="center"/>
    </xf>
    <xf borderId="0" fillId="0" fontId="1" numFmtId="4" xfId="0" applyFont="1" applyNumberFormat="1"/>
    <xf borderId="3" fillId="0" fontId="1" numFmtId="4" xfId="0" applyBorder="1" applyFont="1" applyNumberFormat="1"/>
    <xf borderId="3" fillId="0" fontId="1" numFmtId="4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BF9000"/>
              </a:solidFill>
              <a:ln cmpd="sng">
                <a:solidFill>
                  <a:srgbClr val="BF9000"/>
                </a:solidFill>
              </a:ln>
            </c:spPr>
          </c:marker>
          <c:trendline>
            <c:name/>
            <c:spPr>
              <a:ln w="19050">
                <a:solidFill>
                  <a:srgbClr val="BF9000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'Página1'!$H$41:$H$47</c:f>
            </c:numRef>
          </c:xVal>
          <c:yVal>
            <c:numRef>
              <c:f>'Página1'!$F$41:$F$47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7715790"/>
        <c:axId val="415418352"/>
      </c:scatterChart>
      <c:valAx>
        <c:axId val="18177157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5418352"/>
      </c:valAx>
      <c:valAx>
        <c:axId val="415418352"/>
        <c:scaling>
          <c:orientation val="minMax"/>
          <c:max val="8.5E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7157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38761D"/>
              </a:solidFill>
              <a:ln cmpd="sng">
                <a:solidFill>
                  <a:srgbClr val="38761D"/>
                </a:solidFill>
              </a:ln>
            </c:spPr>
          </c:marker>
          <c:trendline>
            <c:name/>
            <c:spPr>
              <a:ln w="19050">
                <a:solidFill>
                  <a:srgbClr val="38761D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'Página1'!$H$65:$H$71</c:f>
            </c:numRef>
          </c:xVal>
          <c:yVal>
            <c:numRef>
              <c:f>'Página1'!$F$65:$F$71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3455907"/>
        <c:axId val="161734058"/>
      </c:scatterChart>
      <c:valAx>
        <c:axId val="523455907"/>
        <c:scaling>
          <c:orientation val="minMax"/>
          <c:max val="0.0016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1734058"/>
      </c:valAx>
      <c:valAx>
        <c:axId val="161734058"/>
        <c:scaling>
          <c:orientation val="minMax"/>
          <c:max val="3.0E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345590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Variação da Tensão Aplicada pela Deformação Unitária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0000FF"/>
              </a:solidFill>
              <a:ln cmpd="sng">
                <a:solidFill>
                  <a:srgbClr val="0000FF"/>
                </a:solidFill>
              </a:ln>
            </c:spPr>
          </c:marker>
          <c:trendline>
            <c:name/>
            <c:spPr>
              <a:ln w="19050">
                <a:solidFill>
                  <a:srgbClr val="00FFFF">
                    <a:alpha val="40000"/>
                  </a:srgbClr>
                </a:solidFill>
              </a:ln>
            </c:spPr>
            <c:trendlineType val="linear"/>
            <c:dispRSqr val="0"/>
            <c:dispEq val="1"/>
          </c:trendline>
          <c:xVal>
            <c:numRef>
              <c:f>'Página1'!$H$18:$H$24</c:f>
            </c:numRef>
          </c:xVal>
          <c:yVal>
            <c:numRef>
              <c:f>'Página1'!$F$18:$F$24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153154"/>
        <c:axId val="985696793"/>
      </c:scatterChart>
      <c:valAx>
        <c:axId val="3161531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Deformação Unitária </a:t>
                </a:r>
              </a:p>
            </c:rich>
          </c:tx>
          <c:layout>
            <c:manualLayout>
              <c:xMode val="edge"/>
              <c:yMode val="edge"/>
              <c:x val="0.18042187499999998"/>
              <c:y val="0.90148247978436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5696793"/>
      </c:valAx>
      <c:valAx>
        <c:axId val="9856967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Tensão (Pa)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1531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47625</xdr:colOff>
      <xdr:row>37</xdr:row>
      <xdr:rowOff>114300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647700</xdr:colOff>
      <xdr:row>72</xdr:row>
      <xdr:rowOff>9525</xdr:rowOff>
    </xdr:from>
    <xdr:ext cx="5819775" cy="36004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180975</xdr:colOff>
      <xdr:row>0</xdr:row>
      <xdr:rowOff>95250</xdr:rowOff>
    </xdr:from>
    <xdr:ext cx="5000625" cy="309562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4.25"/>
    <col customWidth="1" min="6" max="6" width="12.63"/>
    <col customWidth="1" min="11" max="11" width="21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"/>
      <c r="B2" s="3" t="s">
        <v>1</v>
      </c>
      <c r="C2" s="4"/>
      <c r="D2" s="5">
        <f>0.01/2</f>
        <v>0.005</v>
      </c>
      <c r="E2" s="2"/>
      <c r="F2" s="6" t="s">
        <v>2</v>
      </c>
      <c r="G2" s="5">
        <v>9.81</v>
      </c>
      <c r="H2" s="2"/>
      <c r="I2" s="3" t="s">
        <v>3</v>
      </c>
      <c r="J2" s="4"/>
      <c r="K2" s="5">
        <v>0.5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3" t="s">
        <v>4</v>
      </c>
      <c r="C3" s="4"/>
      <c r="D3" s="5">
        <f> 0.1</f>
        <v>0.1</v>
      </c>
      <c r="E3" s="2"/>
      <c r="F3" s="7"/>
      <c r="G3" s="2"/>
      <c r="H3" s="2"/>
      <c r="I3" s="3" t="s">
        <v>5</v>
      </c>
      <c r="J3" s="4"/>
      <c r="K3" s="2">
        <f>K2/1000</f>
        <v>0.0005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3" t="s">
        <v>6</v>
      </c>
      <c r="C4" s="4"/>
      <c r="D4" s="8">
        <f>D3/1000</f>
        <v>0.0001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9" t="s">
        <v>7</v>
      </c>
      <c r="B6" s="2"/>
      <c r="C6" s="10" t="s">
        <v>8</v>
      </c>
      <c r="D6" s="11" t="s">
        <v>9</v>
      </c>
      <c r="E6" s="10" t="s">
        <v>10</v>
      </c>
      <c r="F6" s="10" t="s">
        <v>11</v>
      </c>
      <c r="G6" s="11" t="s">
        <v>12</v>
      </c>
      <c r="H6" s="1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B7" s="2"/>
      <c r="C7" s="13">
        <v>1.0</v>
      </c>
      <c r="D7" s="14">
        <v>0.3</v>
      </c>
      <c r="E7" s="15">
        <f>AVERAGE(D7:D9)</f>
        <v>0.31</v>
      </c>
      <c r="F7" s="16">
        <f> SQRT((1/6) * ((D7-E7)^2 + (D8-E7)^2 + (D9-E7)^2))</f>
        <v>0.005773502692</v>
      </c>
      <c r="G7" s="17">
        <f> SQRT((F7)^2 + ($D$2)^2)</f>
        <v>0.007637626158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"/>
      <c r="B8" s="2"/>
      <c r="C8" s="13">
        <v>2.0</v>
      </c>
      <c r="D8" s="18">
        <v>0.31</v>
      </c>
      <c r="E8" s="15">
        <f>E7/1000</f>
        <v>0.00031</v>
      </c>
      <c r="F8" s="2"/>
      <c r="G8" s="19">
        <f>G7/1000</f>
        <v>0.000007637626158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"/>
      <c r="B9" s="2"/>
      <c r="C9" s="13">
        <v>3.0</v>
      </c>
      <c r="D9" s="18">
        <v>0.32</v>
      </c>
      <c r="E9" s="20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3" t="s">
        <v>13</v>
      </c>
      <c r="C12" s="4"/>
      <c r="D12" s="5">
        <f>0.01/2</f>
        <v>0.005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1" t="s">
        <v>14</v>
      </c>
      <c r="D14" s="4"/>
      <c r="E14" s="5">
        <v>423.0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1" t="s">
        <v>9</v>
      </c>
      <c r="D15" s="4"/>
      <c r="E15" s="17">
        <f>E7</f>
        <v>0.31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2" t="s">
        <v>15</v>
      </c>
      <c r="D16" s="4"/>
      <c r="E16" s="23">
        <f> (PI() * ((E15/2000)^2))</f>
        <v>0.0000000754767635</v>
      </c>
      <c r="F16" s="24" t="s">
        <v>16</v>
      </c>
      <c r="G16" s="25">
        <f>((2*PI()*(E15/1000))/4) * (D12/1000)</f>
        <v>0.000000002434734307</v>
      </c>
      <c r="H16" s="26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I17" s="2"/>
      <c r="J17" s="2"/>
      <c r="K17" s="2"/>
      <c r="L17" s="1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10" t="s">
        <v>17</v>
      </c>
      <c r="D18" s="10" t="s">
        <v>18</v>
      </c>
      <c r="E18" s="27" t="s">
        <v>19</v>
      </c>
      <c r="F18" s="27" t="s">
        <v>20</v>
      </c>
      <c r="G18" s="27" t="s">
        <v>21</v>
      </c>
      <c r="H18" s="27" t="s">
        <v>22</v>
      </c>
      <c r="I18" s="27" t="s">
        <v>23</v>
      </c>
      <c r="J18" s="27" t="s">
        <v>24</v>
      </c>
      <c r="K18" s="28" t="s">
        <v>25</v>
      </c>
      <c r="L18" s="29" t="s">
        <v>26</v>
      </c>
      <c r="M18" s="4"/>
      <c r="N18" s="28" t="s">
        <v>27</v>
      </c>
      <c r="O18" s="28" t="s">
        <v>28</v>
      </c>
      <c r="P18" s="30" t="s">
        <v>29</v>
      </c>
      <c r="Q18" s="31" t="s">
        <v>30</v>
      </c>
      <c r="R18" s="4"/>
      <c r="S18" s="30" t="s">
        <v>31</v>
      </c>
      <c r="T18" s="32" t="s">
        <v>32</v>
      </c>
      <c r="U18" s="2"/>
      <c r="V18" s="2"/>
      <c r="W18" s="2"/>
      <c r="X18" s="2"/>
      <c r="Y18" s="2"/>
      <c r="Z18" s="2"/>
      <c r="AA18" s="2"/>
    </row>
    <row r="19">
      <c r="A19" s="2"/>
      <c r="B19" s="2"/>
      <c r="C19" s="5">
        <v>1.0</v>
      </c>
      <c r="D19" s="5">
        <v>0.35092</v>
      </c>
      <c r="E19" s="33">
        <f t="shared" ref="E19:E24" si="1">D19*$G$2</f>
        <v>3.4425252</v>
      </c>
      <c r="F19" s="23">
        <f t="shared" ref="F19:F24" si="2">(E19/$E$16)</f>
        <v>45610397.69</v>
      </c>
      <c r="G19" s="16">
        <v>0.12</v>
      </c>
      <c r="H19" s="34">
        <f t="shared" ref="H19:H24" si="3">G19/$E$14</f>
        <v>0.0002836879433</v>
      </c>
      <c r="I19" s="33">
        <f t="shared" ref="I19:I24" si="4">H19*1000</f>
        <v>0.2836879433</v>
      </c>
      <c r="J19" s="23">
        <f t="shared" ref="J19:J24" si="5"> (E19/$E$16)/H19</f>
        <v>160776651871</v>
      </c>
      <c r="K19" s="17">
        <f t="shared" ref="K19:K24" si="6">$D$4*$G$2</f>
        <v>0.000981</v>
      </c>
      <c r="L19" s="34">
        <f t="shared" ref="L19:L24" si="7"> (1/$E$16^2)*(K19^2)</f>
        <v>168931826.1</v>
      </c>
      <c r="M19" s="35">
        <f>($E$19/($E$16^2))^2 * ($G$16^2)</f>
        <v>2164732963371</v>
      </c>
      <c r="N19" s="25">
        <f t="shared" ref="N19:N24" si="8"> SQRT(L19 + M19)</f>
        <v>1471360.559</v>
      </c>
      <c r="O19" s="36">
        <f t="shared" ref="O19:O24" si="9">N19/1000000</f>
        <v>1.471360559</v>
      </c>
      <c r="P19" s="37">
        <f t="shared" ref="P19:P24" si="10">$D$2/1000</f>
        <v>0.000005</v>
      </c>
      <c r="Q19" s="34">
        <f t="shared" ref="Q19:Q24" si="11">H19</f>
        <v>0.0002836879433</v>
      </c>
      <c r="R19" s="33">
        <f t="shared" ref="R19:R24" si="12">SQRT(((P19*1000/G19)^2)+(($K$3*1000/$E$14)^2))</f>
        <v>0.04168342972</v>
      </c>
      <c r="S19" s="34">
        <f t="shared" ref="S19:S24" si="13">Q19*R19</f>
        <v>0.00001182508645</v>
      </c>
      <c r="T19" s="38">
        <f t="shared" ref="T19:T24" si="14">S19*1000</f>
        <v>0.01182508645</v>
      </c>
      <c r="U19" s="2"/>
      <c r="V19" s="2"/>
      <c r="W19" s="2"/>
      <c r="X19" s="2"/>
      <c r="Y19" s="2"/>
      <c r="Z19" s="2"/>
      <c r="AA19" s="2"/>
    </row>
    <row r="20">
      <c r="A20" s="2"/>
      <c r="B20" s="2"/>
      <c r="C20" s="5">
        <v>2.0</v>
      </c>
      <c r="D20" s="5">
        <v>0.70092</v>
      </c>
      <c r="E20" s="33">
        <f t="shared" si="1"/>
        <v>6.8760252</v>
      </c>
      <c r="F20" s="23">
        <f t="shared" si="2"/>
        <v>91101219.51</v>
      </c>
      <c r="G20" s="16">
        <v>0.225</v>
      </c>
      <c r="H20" s="34">
        <f t="shared" si="3"/>
        <v>0.0005319148936</v>
      </c>
      <c r="I20" s="33">
        <f t="shared" si="4"/>
        <v>0.5319148936</v>
      </c>
      <c r="J20" s="23">
        <f t="shared" si="5"/>
        <v>171270292685</v>
      </c>
      <c r="K20" s="17">
        <f t="shared" si="6"/>
        <v>0.000981</v>
      </c>
      <c r="L20" s="34">
        <f t="shared" si="7"/>
        <v>168931826.1</v>
      </c>
      <c r="M20" s="35">
        <f>($E$20/($E$16^2))^2 * ($G$16^2)</f>
        <v>8636245782336</v>
      </c>
      <c r="N20" s="25">
        <f t="shared" si="8"/>
        <v>2938777.759</v>
      </c>
      <c r="O20" s="36">
        <f t="shared" si="9"/>
        <v>2.938777759</v>
      </c>
      <c r="P20" s="37">
        <f t="shared" si="10"/>
        <v>0.000005</v>
      </c>
      <c r="Q20" s="34">
        <f t="shared" si="11"/>
        <v>0.0005319148936</v>
      </c>
      <c r="R20" s="33">
        <f t="shared" si="12"/>
        <v>0.02225363707</v>
      </c>
      <c r="S20" s="34">
        <f t="shared" si="13"/>
        <v>0.00001183704099</v>
      </c>
      <c r="T20" s="38">
        <f t="shared" si="14"/>
        <v>0.01183704099</v>
      </c>
      <c r="U20" s="2"/>
      <c r="V20" s="2"/>
      <c r="W20" s="2"/>
      <c r="X20" s="2"/>
      <c r="Y20" s="2"/>
      <c r="Z20" s="2"/>
      <c r="AA20" s="2"/>
    </row>
    <row r="21">
      <c r="A21" s="2"/>
      <c r="B21" s="2"/>
      <c r="C21" s="5">
        <v>3.0</v>
      </c>
      <c r="D21" s="5">
        <v>1.05178</v>
      </c>
      <c r="E21" s="33">
        <f t="shared" si="1"/>
        <v>10.3179618</v>
      </c>
      <c r="F21" s="23">
        <f t="shared" si="2"/>
        <v>136703818.8</v>
      </c>
      <c r="G21" s="16">
        <v>0.385</v>
      </c>
      <c r="H21" s="34">
        <f t="shared" si="3"/>
        <v>0.0009101654846</v>
      </c>
      <c r="I21" s="33">
        <f t="shared" si="4"/>
        <v>0.9101654846</v>
      </c>
      <c r="J21" s="23">
        <f t="shared" si="5"/>
        <v>150196663232</v>
      </c>
      <c r="K21" s="17">
        <f t="shared" si="6"/>
        <v>0.000981</v>
      </c>
      <c r="L21" s="34">
        <f t="shared" si="7"/>
        <v>168931826.1</v>
      </c>
      <c r="M21" s="35">
        <f>($E$21/($E$16^2))^2 * ($G$16^2)</f>
        <v>19446341383175</v>
      </c>
      <c r="N21" s="25">
        <f t="shared" si="8"/>
        <v>4409819.76</v>
      </c>
      <c r="O21" s="36">
        <f t="shared" si="9"/>
        <v>4.40981976</v>
      </c>
      <c r="P21" s="37">
        <f t="shared" si="10"/>
        <v>0.000005</v>
      </c>
      <c r="Q21" s="34">
        <f t="shared" si="11"/>
        <v>0.0009101654846</v>
      </c>
      <c r="R21" s="33">
        <f t="shared" si="12"/>
        <v>0.01304069433</v>
      </c>
      <c r="S21" s="34">
        <f t="shared" si="13"/>
        <v>0.00001186918987</v>
      </c>
      <c r="T21" s="38">
        <f t="shared" si="14"/>
        <v>0.01186918987</v>
      </c>
      <c r="U21" s="2"/>
      <c r="V21" s="2"/>
      <c r="W21" s="2"/>
      <c r="X21" s="2"/>
      <c r="Y21" s="2"/>
      <c r="Z21" s="2"/>
      <c r="AA21" s="2"/>
    </row>
    <row r="22">
      <c r="A22" s="2"/>
      <c r="B22" s="2"/>
      <c r="C22" s="5">
        <v>4.0</v>
      </c>
      <c r="D22" s="5">
        <v>1.40189</v>
      </c>
      <c r="E22" s="33">
        <f t="shared" si="1"/>
        <v>13.7525409</v>
      </c>
      <c r="F22" s="23">
        <f t="shared" si="2"/>
        <v>182208937.7</v>
      </c>
      <c r="G22" s="16">
        <v>0.46</v>
      </c>
      <c r="H22" s="34">
        <f t="shared" si="3"/>
        <v>0.001087470449</v>
      </c>
      <c r="I22" s="33">
        <f t="shared" si="4"/>
        <v>1.087470449</v>
      </c>
      <c r="J22" s="23">
        <f t="shared" si="5"/>
        <v>167553001421</v>
      </c>
      <c r="K22" s="17">
        <f t="shared" si="6"/>
        <v>0.000981</v>
      </c>
      <c r="L22" s="34">
        <f t="shared" si="7"/>
        <v>168931826.1</v>
      </c>
      <c r="M22" s="35">
        <f>($E$22/($E$16^2))^2 * ($G$16^2)</f>
        <v>34547447433342</v>
      </c>
      <c r="N22" s="25">
        <f t="shared" si="8"/>
        <v>5877722.039</v>
      </c>
      <c r="O22" s="36">
        <f t="shared" si="9"/>
        <v>5.877722039</v>
      </c>
      <c r="P22" s="37">
        <f t="shared" si="10"/>
        <v>0.000005</v>
      </c>
      <c r="Q22" s="34">
        <f t="shared" si="11"/>
        <v>0.001087470449</v>
      </c>
      <c r="R22" s="33">
        <f t="shared" si="12"/>
        <v>0.01093364762</v>
      </c>
      <c r="S22" s="34">
        <f t="shared" si="13"/>
        <v>0.00001189001869</v>
      </c>
      <c r="T22" s="38">
        <f t="shared" si="14"/>
        <v>0.01189001869</v>
      </c>
      <c r="U22" s="2"/>
      <c r="V22" s="2"/>
      <c r="W22" s="2"/>
      <c r="X22" s="2"/>
      <c r="Y22" s="2"/>
      <c r="Z22" s="2"/>
      <c r="AA22" s="2"/>
    </row>
    <row r="23">
      <c r="A23" s="2"/>
      <c r="B23" s="2"/>
      <c r="C23" s="5">
        <v>5.0</v>
      </c>
      <c r="D23" s="5">
        <v>1.75175</v>
      </c>
      <c r="E23" s="33">
        <f t="shared" si="1"/>
        <v>17.1846675</v>
      </c>
      <c r="F23" s="23">
        <f t="shared" si="2"/>
        <v>227681563.2</v>
      </c>
      <c r="G23" s="16">
        <v>0.575</v>
      </c>
      <c r="H23" s="34">
        <f t="shared" si="3"/>
        <v>0.001359338061</v>
      </c>
      <c r="I23" s="33">
        <f t="shared" si="4"/>
        <v>1.359338061</v>
      </c>
      <c r="J23" s="23">
        <f t="shared" si="5"/>
        <v>167494436933</v>
      </c>
      <c r="K23" s="17">
        <f t="shared" si="6"/>
        <v>0.000981</v>
      </c>
      <c r="L23" s="34">
        <f t="shared" si="7"/>
        <v>168931826.1</v>
      </c>
      <c r="M23" s="35">
        <f>($E$23/($E$16^2))^2 * ($G$16^2)</f>
        <v>53942657881439</v>
      </c>
      <c r="N23" s="25">
        <f t="shared" si="8"/>
        <v>7344578.055</v>
      </c>
      <c r="O23" s="36">
        <f t="shared" si="9"/>
        <v>7.344578055</v>
      </c>
      <c r="P23" s="37">
        <f t="shared" si="10"/>
        <v>0.000005</v>
      </c>
      <c r="Q23" s="34">
        <f t="shared" si="11"/>
        <v>0.001359338061</v>
      </c>
      <c r="R23" s="33">
        <f t="shared" si="12"/>
        <v>0.008775623566</v>
      </c>
      <c r="S23" s="34">
        <f t="shared" si="13"/>
        <v>0.00001192903913</v>
      </c>
      <c r="T23" s="38">
        <f t="shared" si="14"/>
        <v>0.01192903913</v>
      </c>
      <c r="U23" s="2"/>
      <c r="V23" s="2"/>
      <c r="W23" s="2"/>
      <c r="X23" s="2"/>
      <c r="Y23" s="2"/>
      <c r="Z23" s="2"/>
      <c r="AA23" s="2"/>
    </row>
    <row r="24">
      <c r="A24" s="2"/>
      <c r="B24" s="2"/>
      <c r="C24" s="5">
        <v>6.0</v>
      </c>
      <c r="D24" s="5">
        <v>1.77793</v>
      </c>
      <c r="E24" s="33">
        <f t="shared" si="1"/>
        <v>17.4414933</v>
      </c>
      <c r="F24" s="23">
        <f t="shared" si="2"/>
        <v>231084276.7</v>
      </c>
      <c r="G24" s="16">
        <v>0.59</v>
      </c>
      <c r="H24" s="34">
        <f t="shared" si="3"/>
        <v>0.001394799054</v>
      </c>
      <c r="I24" s="33">
        <f t="shared" si="4"/>
        <v>1.394799054</v>
      </c>
      <c r="J24" s="23">
        <f t="shared" si="5"/>
        <v>165675676330</v>
      </c>
      <c r="K24" s="17">
        <f t="shared" si="6"/>
        <v>0.000981</v>
      </c>
      <c r="L24" s="34">
        <f t="shared" si="7"/>
        <v>168931826.1</v>
      </c>
      <c r="M24" s="35">
        <f>($E$24/($E$16^2))^2 * ($G$16^2)</f>
        <v>55567058197685</v>
      </c>
      <c r="N24" s="25">
        <f t="shared" si="8"/>
        <v>7454342.837</v>
      </c>
      <c r="O24" s="36">
        <f t="shared" si="9"/>
        <v>7.454342837</v>
      </c>
      <c r="P24" s="39">
        <f t="shared" si="10"/>
        <v>0.000005</v>
      </c>
      <c r="Q24" s="34">
        <f t="shared" si="11"/>
        <v>0.001394799054</v>
      </c>
      <c r="R24" s="33">
        <f t="shared" si="12"/>
        <v>0.008556614121</v>
      </c>
      <c r="S24" s="34">
        <f t="shared" si="13"/>
        <v>0.00001193475728</v>
      </c>
      <c r="T24" s="38">
        <f t="shared" si="14"/>
        <v>0.01193475728</v>
      </c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40" t="s">
        <v>33</v>
      </c>
      <c r="I25" s="41"/>
      <c r="J25" s="2"/>
      <c r="K25" s="2"/>
      <c r="L25" s="2"/>
      <c r="M25" s="2"/>
      <c r="N25" s="42"/>
      <c r="O25" s="42"/>
      <c r="P25" s="4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H26" s="1" t="s">
        <v>34</v>
      </c>
      <c r="I26" s="41"/>
      <c r="J26" s="2"/>
      <c r="K26" s="2"/>
      <c r="L26" s="2"/>
      <c r="M26" s="2"/>
      <c r="N26" s="43"/>
      <c r="P26" s="42"/>
      <c r="Q26" s="2"/>
      <c r="R26" s="2"/>
      <c r="S26" s="5" t="s">
        <v>31</v>
      </c>
      <c r="U26" s="2"/>
      <c r="V26" s="2"/>
      <c r="W26" s="2"/>
      <c r="X26" s="2"/>
      <c r="Y26" s="2"/>
      <c r="Z26" s="2"/>
      <c r="AA26" s="2"/>
    </row>
    <row r="27">
      <c r="A27" s="2"/>
      <c r="B27" s="2"/>
      <c r="H27" s="2"/>
      <c r="I27" s="2"/>
      <c r="J27" s="2"/>
      <c r="M27" s="2"/>
      <c r="N27" s="44"/>
      <c r="O27" s="44"/>
      <c r="P27" s="44"/>
      <c r="Q27" s="45">
        <f t="shared" ref="Q27:Q32" si="15"> (1/$E$14^2)^2 * ($K$2^2)</f>
        <v>0</v>
      </c>
      <c r="R27" s="45">
        <f t="shared" ref="R27:R32" si="16"> (G19/($E$14^2))^2 * ($K$2^2)</f>
        <v>0</v>
      </c>
      <c r="S27" s="46">
        <f t="shared" ref="S27:S32" si="17">SQRT(Q27 + R27)</f>
        <v>0.000002814452283</v>
      </c>
      <c r="T27" s="47"/>
      <c r="U27" s="2"/>
      <c r="V27" s="2"/>
      <c r="W27" s="2"/>
      <c r="X27" s="2"/>
      <c r="Y27" s="2"/>
      <c r="Z27" s="2"/>
      <c r="AA27" s="2"/>
    </row>
    <row r="28">
      <c r="A28" s="2"/>
      <c r="B28" s="2"/>
      <c r="H28" s="2"/>
      <c r="I28" s="2"/>
      <c r="J28" s="2"/>
      <c r="M28" s="2"/>
      <c r="N28" s="44"/>
      <c r="O28" s="44"/>
      <c r="P28" s="44"/>
      <c r="Q28" s="45">
        <f t="shared" si="15"/>
        <v>0</v>
      </c>
      <c r="R28" s="45">
        <f t="shared" si="16"/>
        <v>0</v>
      </c>
      <c r="S28" s="46">
        <f t="shared" si="17"/>
        <v>0.000002864264597</v>
      </c>
      <c r="T28" s="47"/>
      <c r="U28" s="2"/>
      <c r="V28" s="2"/>
      <c r="W28" s="2"/>
      <c r="X28" s="2"/>
      <c r="Y28" s="2"/>
      <c r="Z28" s="2"/>
      <c r="AA28" s="2"/>
    </row>
    <row r="29">
      <c r="A29" s="2"/>
      <c r="B29" s="2"/>
      <c r="H29" s="2"/>
      <c r="I29" s="2"/>
      <c r="J29" s="2"/>
      <c r="M29" s="2"/>
      <c r="N29" s="44"/>
      <c r="O29" s="44"/>
      <c r="P29" s="44"/>
      <c r="Q29" s="45">
        <f t="shared" si="15"/>
        <v>0</v>
      </c>
      <c r="R29" s="45">
        <f t="shared" si="16"/>
        <v>0</v>
      </c>
      <c r="S29" s="46">
        <f t="shared" si="17"/>
        <v>0.000002994351424</v>
      </c>
      <c r="T29" s="47"/>
      <c r="U29" s="2"/>
      <c r="V29" s="2"/>
      <c r="W29" s="2"/>
      <c r="X29" s="2"/>
      <c r="Y29" s="2"/>
      <c r="Z29" s="2"/>
      <c r="AA29" s="2"/>
    </row>
    <row r="30">
      <c r="A30" s="9" t="s">
        <v>7</v>
      </c>
      <c r="B30" s="2"/>
      <c r="C30" s="48" t="s">
        <v>8</v>
      </c>
      <c r="D30" s="49" t="s">
        <v>9</v>
      </c>
      <c r="E30" s="48" t="s">
        <v>10</v>
      </c>
      <c r="F30" s="48" t="s">
        <v>11</v>
      </c>
      <c r="G30" s="49" t="s">
        <v>12</v>
      </c>
      <c r="H30" s="2"/>
      <c r="I30" s="2"/>
      <c r="J30" s="2"/>
      <c r="M30" s="2"/>
      <c r="N30" s="44"/>
      <c r="O30" s="44"/>
      <c r="P30" s="44"/>
      <c r="Q30" s="45">
        <f t="shared" si="15"/>
        <v>0</v>
      </c>
      <c r="R30" s="45">
        <f t="shared" si="16"/>
        <v>0</v>
      </c>
      <c r="S30" s="46">
        <f t="shared" si="17"/>
        <v>0.000003075876556</v>
      </c>
      <c r="T30" s="47"/>
      <c r="U30" s="2"/>
      <c r="V30" s="2"/>
      <c r="W30" s="2"/>
      <c r="X30" s="2"/>
      <c r="Y30" s="2"/>
      <c r="Z30" s="2"/>
      <c r="AA30" s="2"/>
    </row>
    <row r="31">
      <c r="B31" s="2"/>
      <c r="C31" s="13">
        <v>1.0</v>
      </c>
      <c r="D31" s="50">
        <v>0.53</v>
      </c>
      <c r="E31" s="15">
        <f>AVERAGE(D31:D33)</f>
        <v>0.53</v>
      </c>
      <c r="F31" s="16">
        <f> SQRT((1/6) * ((D31-E31)^2 + (D32-E31)^2 + (D33-E31)^2))</f>
        <v>0.002886751346</v>
      </c>
      <c r="G31" s="17">
        <f> SQRT((F31)^2 + ($D$2)^2)</f>
        <v>0.005773502692</v>
      </c>
      <c r="H31" s="2"/>
      <c r="I31" s="2"/>
      <c r="J31" s="2"/>
      <c r="M31" s="2"/>
      <c r="N31" s="44"/>
      <c r="O31" s="44"/>
      <c r="P31" s="44"/>
      <c r="Q31" s="45">
        <f t="shared" si="15"/>
        <v>0</v>
      </c>
      <c r="R31" s="45">
        <f t="shared" si="16"/>
        <v>0</v>
      </c>
      <c r="S31" s="46">
        <f t="shared" si="17"/>
        <v>0.000003223421579</v>
      </c>
      <c r="T31" s="47"/>
      <c r="U31" s="2"/>
      <c r="V31" s="2"/>
      <c r="W31" s="2"/>
      <c r="X31" s="2"/>
      <c r="Y31" s="2"/>
      <c r="Z31" s="2"/>
      <c r="AA31" s="2"/>
    </row>
    <row r="32">
      <c r="A32" s="2"/>
      <c r="B32" s="2"/>
      <c r="C32" s="13">
        <v>2.0</v>
      </c>
      <c r="D32" s="18">
        <v>0.535</v>
      </c>
      <c r="E32" s="20"/>
      <c r="F32" s="2"/>
      <c r="G32" s="2"/>
      <c r="H32" s="2"/>
      <c r="I32" s="2"/>
      <c r="J32" s="2"/>
      <c r="M32" s="2"/>
      <c r="N32" s="44"/>
      <c r="O32" s="44"/>
      <c r="P32" s="44"/>
      <c r="Q32" s="45">
        <f t="shared" si="15"/>
        <v>0</v>
      </c>
      <c r="R32" s="45">
        <f t="shared" si="16"/>
        <v>0</v>
      </c>
      <c r="S32" s="46">
        <f t="shared" si="17"/>
        <v>0.000003244519016</v>
      </c>
      <c r="T32" s="47"/>
      <c r="U32" s="2"/>
      <c r="V32" s="2"/>
      <c r="W32" s="2"/>
      <c r="X32" s="2"/>
      <c r="Y32" s="2"/>
      <c r="Z32" s="2"/>
      <c r="AA32" s="2"/>
    </row>
    <row r="33">
      <c r="A33" s="2"/>
      <c r="B33" s="2"/>
      <c r="C33" s="13">
        <v>3.0</v>
      </c>
      <c r="D33" s="18">
        <v>0.525</v>
      </c>
      <c r="E33" s="20"/>
      <c r="H33" s="2"/>
      <c r="I33" s="2"/>
      <c r="J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51" t="s">
        <v>14</v>
      </c>
      <c r="D37" s="4"/>
      <c r="E37" s="5">
        <v>423.0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51" t="s">
        <v>9</v>
      </c>
      <c r="D38" s="4"/>
      <c r="E38" s="17">
        <f>E31</f>
        <v>0.53</v>
      </c>
      <c r="I38" s="2"/>
      <c r="J38" s="2"/>
      <c r="K38" s="2"/>
      <c r="L38" s="52"/>
      <c r="M38" s="52"/>
      <c r="N38" s="53"/>
      <c r="O38" s="52"/>
      <c r="P38" s="5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54" t="s">
        <v>15</v>
      </c>
      <c r="D39" s="4"/>
      <c r="E39" s="23">
        <f> (PI() * ((E38/2000)^2))</f>
        <v>0.0000002206183441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48" t="s">
        <v>17</v>
      </c>
      <c r="D41" s="48" t="s">
        <v>18</v>
      </c>
      <c r="E41" s="48" t="s">
        <v>19</v>
      </c>
      <c r="F41" s="55" t="s">
        <v>20</v>
      </c>
      <c r="G41" s="55" t="s">
        <v>21</v>
      </c>
      <c r="H41" s="55" t="s">
        <v>22</v>
      </c>
      <c r="I41" s="55" t="s">
        <v>23</v>
      </c>
      <c r="J41" s="55" t="s">
        <v>24</v>
      </c>
      <c r="K41" s="28" t="s">
        <v>25</v>
      </c>
      <c r="L41" s="29" t="s">
        <v>26</v>
      </c>
      <c r="M41" s="4"/>
      <c r="N41" s="28" t="s">
        <v>27</v>
      </c>
      <c r="O41" s="28" t="s">
        <v>28</v>
      </c>
      <c r="P41" s="30" t="s">
        <v>29</v>
      </c>
      <c r="Q41" s="31" t="s">
        <v>30</v>
      </c>
      <c r="R41" s="4"/>
      <c r="S41" s="30" t="s">
        <v>31</v>
      </c>
      <c r="T41" s="32" t="s">
        <v>32</v>
      </c>
      <c r="U41" s="2"/>
      <c r="V41" s="2"/>
      <c r="W41" s="2"/>
      <c r="X41" s="2"/>
      <c r="Y41" s="2"/>
      <c r="Z41" s="2"/>
      <c r="AA41" s="2"/>
    </row>
    <row r="42">
      <c r="A42" s="2"/>
      <c r="B42" s="2"/>
      <c r="C42" s="5">
        <v>1.0</v>
      </c>
      <c r="D42" s="5">
        <v>0.35092</v>
      </c>
      <c r="E42" s="33">
        <f t="shared" ref="E42:E47" si="18">D42*$G$2</f>
        <v>3.4425252</v>
      </c>
      <c r="F42" s="23">
        <f t="shared" ref="F42:F47" si="19">E42/$E$39</f>
        <v>15603984.4</v>
      </c>
      <c r="G42" s="16">
        <v>0.06</v>
      </c>
      <c r="H42" s="34">
        <f t="shared" ref="H42:H47" si="20">G42/$E$37</f>
        <v>0.0001418439716</v>
      </c>
      <c r="I42" s="56">
        <f t="shared" ref="I42:I47" si="21">H42*1000</f>
        <v>0.1418439716</v>
      </c>
      <c r="J42" s="23">
        <f t="shared" ref="J42:J47" si="22"> (E42/$E$39)/H42</f>
        <v>110008090031</v>
      </c>
      <c r="K42" s="17">
        <f t="shared" ref="K42:K47" si="23">$D$4*$G$2</f>
        <v>0.000981</v>
      </c>
      <c r="L42" s="34">
        <f t="shared" ref="L42:L47" si="24"> (1/$E$16^2)*(K42^2)</f>
        <v>168931826.1</v>
      </c>
      <c r="M42" s="35">
        <f t="shared" ref="M42:M47" si="25">(E42/($E$16^2))^2 * ($G$16^2)</f>
        <v>2164732963371</v>
      </c>
      <c r="N42" s="25">
        <f t="shared" ref="N42:N47" si="26"> SQRT(L42 + M42)</f>
        <v>1471360.559</v>
      </c>
      <c r="O42" s="36">
        <f t="shared" ref="O42:O47" si="27">N42/1000000</f>
        <v>1.471360559</v>
      </c>
      <c r="P42" s="37">
        <f t="shared" ref="P42:P47" si="28">$D$2/1000</f>
        <v>0.000005</v>
      </c>
      <c r="Q42" s="34">
        <f t="shared" ref="Q42:Q47" si="29">H42</f>
        <v>0.0001418439716</v>
      </c>
      <c r="R42" s="33">
        <f t="shared" ref="R42:R47" si="30">SQRT(((P42*1000/G42)^2)+(($K$3*1000/$E$37)^2))</f>
        <v>0.08334171613</v>
      </c>
      <c r="S42" s="34">
        <f t="shared" ref="S42:S47" si="31">Q42*R42</f>
        <v>0.00001182152002</v>
      </c>
      <c r="T42" s="38">
        <f t="shared" ref="T42:T47" si="32">S42*1000</f>
        <v>0.01182152002</v>
      </c>
      <c r="U42" s="2"/>
      <c r="V42" s="2"/>
      <c r="W42" s="2"/>
      <c r="X42" s="2"/>
      <c r="Y42" s="2"/>
      <c r="Z42" s="2"/>
      <c r="AA42" s="2"/>
    </row>
    <row r="43">
      <c r="A43" s="2"/>
      <c r="B43" s="2"/>
      <c r="C43" s="5">
        <v>2.0</v>
      </c>
      <c r="D43" s="5">
        <v>0.70092</v>
      </c>
      <c r="E43" s="33">
        <f t="shared" si="18"/>
        <v>6.8760252</v>
      </c>
      <c r="F43" s="23">
        <f t="shared" si="19"/>
        <v>31167060.15</v>
      </c>
      <c r="G43" s="16">
        <v>0.16</v>
      </c>
      <c r="H43" s="34">
        <f t="shared" si="20"/>
        <v>0.000378250591</v>
      </c>
      <c r="I43" s="56">
        <f t="shared" si="21"/>
        <v>0.378250591</v>
      </c>
      <c r="J43" s="23">
        <f t="shared" si="22"/>
        <v>82397915263</v>
      </c>
      <c r="K43" s="17">
        <f t="shared" si="23"/>
        <v>0.000981</v>
      </c>
      <c r="L43" s="34">
        <f t="shared" si="24"/>
        <v>168931826.1</v>
      </c>
      <c r="M43" s="35">
        <f t="shared" si="25"/>
        <v>8636245782336</v>
      </c>
      <c r="N43" s="25">
        <f t="shared" si="26"/>
        <v>2938777.759</v>
      </c>
      <c r="O43" s="36">
        <f t="shared" si="27"/>
        <v>2.938777759</v>
      </c>
      <c r="P43" s="37">
        <f t="shared" si="28"/>
        <v>0.000005</v>
      </c>
      <c r="Q43" s="34">
        <f t="shared" si="29"/>
        <v>0.000378250591</v>
      </c>
      <c r="R43" s="33">
        <f t="shared" si="30"/>
        <v>0.03127234725</v>
      </c>
      <c r="S43" s="34">
        <f t="shared" si="31"/>
        <v>0.00001182878383</v>
      </c>
      <c r="T43" s="38">
        <f t="shared" si="32"/>
        <v>0.01182878383</v>
      </c>
      <c r="U43" s="2"/>
      <c r="V43" s="2"/>
      <c r="W43" s="2"/>
      <c r="X43" s="2"/>
      <c r="Y43" s="2"/>
      <c r="Z43" s="2"/>
      <c r="AA43" s="2"/>
    </row>
    <row r="44">
      <c r="A44" s="2"/>
      <c r="B44" s="2"/>
      <c r="C44" s="5">
        <v>3.0</v>
      </c>
      <c r="D44" s="5">
        <v>1.05178</v>
      </c>
      <c r="E44" s="33">
        <f t="shared" si="18"/>
        <v>10.3179618</v>
      </c>
      <c r="F44" s="23">
        <f t="shared" si="19"/>
        <v>46768376.59</v>
      </c>
      <c r="G44" s="16">
        <v>0.24</v>
      </c>
      <c r="H44" s="34">
        <f t="shared" si="20"/>
        <v>0.0005673758865</v>
      </c>
      <c r="I44" s="56">
        <f t="shared" si="21"/>
        <v>0.5673758865</v>
      </c>
      <c r="J44" s="23">
        <f t="shared" si="22"/>
        <v>82429263744</v>
      </c>
      <c r="K44" s="17">
        <f t="shared" si="23"/>
        <v>0.000981</v>
      </c>
      <c r="L44" s="34">
        <f t="shared" si="24"/>
        <v>168931826.1</v>
      </c>
      <c r="M44" s="35">
        <f t="shared" si="25"/>
        <v>19446341383175</v>
      </c>
      <c r="N44" s="25">
        <f t="shared" si="26"/>
        <v>4409819.76</v>
      </c>
      <c r="O44" s="36">
        <f t="shared" si="27"/>
        <v>4.40981976</v>
      </c>
      <c r="P44" s="37">
        <f t="shared" si="28"/>
        <v>0.000005</v>
      </c>
      <c r="Q44" s="34">
        <f t="shared" si="29"/>
        <v>0.0005673758865</v>
      </c>
      <c r="R44" s="33">
        <f t="shared" si="30"/>
        <v>0.02086683924</v>
      </c>
      <c r="S44" s="34">
        <f t="shared" si="31"/>
        <v>0.00001183934141</v>
      </c>
      <c r="T44" s="38">
        <f t="shared" si="32"/>
        <v>0.01183934141</v>
      </c>
      <c r="U44" s="2"/>
      <c r="V44" s="2"/>
      <c r="W44" s="2"/>
      <c r="X44" s="2"/>
      <c r="Y44" s="2"/>
      <c r="Z44" s="2"/>
      <c r="AA44" s="2"/>
    </row>
    <row r="45">
      <c r="A45" s="2"/>
      <c r="B45" s="2"/>
      <c r="C45" s="5">
        <v>4.0</v>
      </c>
      <c r="D45" s="5">
        <v>1.40189</v>
      </c>
      <c r="E45" s="33">
        <f t="shared" si="18"/>
        <v>13.7525409</v>
      </c>
      <c r="F45" s="23">
        <f t="shared" si="19"/>
        <v>62336343.59</v>
      </c>
      <c r="G45" s="16">
        <v>0.32</v>
      </c>
      <c r="H45" s="34">
        <f t="shared" si="20"/>
        <v>0.000756501182</v>
      </c>
      <c r="I45" s="56">
        <f t="shared" si="21"/>
        <v>0.756501182</v>
      </c>
      <c r="J45" s="23">
        <f t="shared" si="22"/>
        <v>82400854183</v>
      </c>
      <c r="K45" s="17">
        <f t="shared" si="23"/>
        <v>0.000981</v>
      </c>
      <c r="L45" s="34">
        <f t="shared" si="24"/>
        <v>168931826.1</v>
      </c>
      <c r="M45" s="35">
        <f t="shared" si="25"/>
        <v>34547447433342</v>
      </c>
      <c r="N45" s="25">
        <f t="shared" si="26"/>
        <v>5877722.039</v>
      </c>
      <c r="O45" s="36">
        <f t="shared" si="27"/>
        <v>5.877722039</v>
      </c>
      <c r="P45" s="37">
        <f t="shared" si="28"/>
        <v>0.000005</v>
      </c>
      <c r="Q45" s="34">
        <f t="shared" si="29"/>
        <v>0.000756501182</v>
      </c>
      <c r="R45" s="33">
        <f t="shared" si="30"/>
        <v>0.01566964669</v>
      </c>
      <c r="S45" s="34">
        <f t="shared" si="31"/>
        <v>0.00001185410624</v>
      </c>
      <c r="T45" s="38">
        <f t="shared" si="32"/>
        <v>0.01185410624</v>
      </c>
      <c r="U45" s="2"/>
      <c r="V45" s="2"/>
      <c r="W45" s="2"/>
      <c r="X45" s="2"/>
      <c r="Y45" s="2"/>
      <c r="Z45" s="2"/>
      <c r="AA45" s="2"/>
    </row>
    <row r="46">
      <c r="A46" s="2"/>
      <c r="B46" s="2"/>
      <c r="C46" s="5">
        <v>5.0</v>
      </c>
      <c r="D46" s="5">
        <v>1.75175</v>
      </c>
      <c r="E46" s="33">
        <f t="shared" si="18"/>
        <v>17.1846675</v>
      </c>
      <c r="F46" s="23">
        <f t="shared" si="19"/>
        <v>77893194.11</v>
      </c>
      <c r="G46" s="16">
        <v>0.4</v>
      </c>
      <c r="H46" s="34">
        <f t="shared" si="20"/>
        <v>0.0009456264775</v>
      </c>
      <c r="I46" s="56">
        <f t="shared" si="21"/>
        <v>0.9456264775</v>
      </c>
      <c r="J46" s="23">
        <f t="shared" si="22"/>
        <v>82372052766</v>
      </c>
      <c r="K46" s="17">
        <f t="shared" si="23"/>
        <v>0.000981</v>
      </c>
      <c r="L46" s="34">
        <f t="shared" si="24"/>
        <v>168931826.1</v>
      </c>
      <c r="M46" s="35">
        <f t="shared" si="25"/>
        <v>53942657881439</v>
      </c>
      <c r="N46" s="25">
        <f t="shared" si="26"/>
        <v>7344578.055</v>
      </c>
      <c r="O46" s="36">
        <f t="shared" si="27"/>
        <v>7.344578055</v>
      </c>
      <c r="P46" s="37">
        <f t="shared" si="28"/>
        <v>0.000005</v>
      </c>
      <c r="Q46" s="34">
        <f t="shared" si="29"/>
        <v>0.0009456264775</v>
      </c>
      <c r="R46" s="33">
        <f t="shared" si="30"/>
        <v>0.01255576371</v>
      </c>
      <c r="S46" s="34">
        <f t="shared" si="31"/>
        <v>0.00001187306261</v>
      </c>
      <c r="T46" s="38">
        <f t="shared" si="32"/>
        <v>0.01187306261</v>
      </c>
      <c r="U46" s="2"/>
      <c r="V46" s="2"/>
      <c r="W46" s="2"/>
      <c r="X46" s="2"/>
      <c r="Y46" s="2"/>
      <c r="Z46" s="2"/>
      <c r="AA46" s="2"/>
    </row>
    <row r="47">
      <c r="A47" s="2"/>
      <c r="B47" s="2"/>
      <c r="C47" s="5">
        <v>6.0</v>
      </c>
      <c r="D47" s="5">
        <v>1.77793</v>
      </c>
      <c r="E47" s="33">
        <f t="shared" si="18"/>
        <v>17.4414933</v>
      </c>
      <c r="F47" s="57">
        <f t="shared" si="19"/>
        <v>79057312.17</v>
      </c>
      <c r="G47" s="16">
        <v>0.405</v>
      </c>
      <c r="H47" s="34">
        <f t="shared" si="20"/>
        <v>0.0009574468085</v>
      </c>
      <c r="I47" s="56">
        <f t="shared" si="21"/>
        <v>0.9574468085</v>
      </c>
      <c r="J47" s="23">
        <f t="shared" si="22"/>
        <v>82570970490</v>
      </c>
      <c r="K47" s="17">
        <f t="shared" si="23"/>
        <v>0.000981</v>
      </c>
      <c r="L47" s="34">
        <f t="shared" si="24"/>
        <v>168931826.1</v>
      </c>
      <c r="M47" s="35">
        <f t="shared" si="25"/>
        <v>55567058197685</v>
      </c>
      <c r="N47" s="25">
        <f t="shared" si="26"/>
        <v>7454342.837</v>
      </c>
      <c r="O47" s="36">
        <f t="shared" si="27"/>
        <v>7.454342837</v>
      </c>
      <c r="P47" s="37">
        <f t="shared" si="28"/>
        <v>0.000005</v>
      </c>
      <c r="Q47" s="34">
        <f t="shared" si="29"/>
        <v>0.0009574468085</v>
      </c>
      <c r="R47" s="33">
        <f t="shared" si="30"/>
        <v>0.01240213661</v>
      </c>
      <c r="S47" s="34">
        <f t="shared" si="31"/>
        <v>0.00001187438612</v>
      </c>
      <c r="T47" s="38">
        <f t="shared" si="32"/>
        <v>0.01187438612</v>
      </c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58"/>
      <c r="G48" s="2"/>
      <c r="H48" s="40" t="s">
        <v>33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1" t="s">
        <v>35</v>
      </c>
      <c r="J49" s="2"/>
      <c r="K49" s="2"/>
      <c r="L49" s="2"/>
      <c r="M49" s="2"/>
      <c r="N49" s="1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M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M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M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9" t="s">
        <v>36</v>
      </c>
      <c r="B53" s="2"/>
      <c r="C53" s="59" t="s">
        <v>8</v>
      </c>
      <c r="D53" s="60" t="s">
        <v>9</v>
      </c>
      <c r="E53" s="59" t="s">
        <v>10</v>
      </c>
      <c r="F53" s="59" t="s">
        <v>11</v>
      </c>
      <c r="G53" s="60" t="s">
        <v>12</v>
      </c>
      <c r="H53" s="12"/>
      <c r="I53" s="2"/>
      <c r="J53" s="2"/>
      <c r="M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B54" s="2"/>
      <c r="C54" s="13">
        <v>1.0</v>
      </c>
      <c r="D54" s="14">
        <v>0.31</v>
      </c>
      <c r="E54" s="15">
        <f>AVERAGE(D54:D56)</f>
        <v>0.3116666667</v>
      </c>
      <c r="F54" s="16">
        <f> SQRT((1/6) * ((D54-E54)^2 + (D55-E54)^2 + (D56-E54)^2))</f>
        <v>0.004409585518</v>
      </c>
      <c r="G54" s="17">
        <f> SQRT((F54)^2 + ($D$2)^2)</f>
        <v>0.006666666667</v>
      </c>
      <c r="H54" s="2"/>
      <c r="I54" s="2"/>
      <c r="J54" s="2"/>
      <c r="M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13">
        <v>2.0</v>
      </c>
      <c r="D55" s="18">
        <v>0.305</v>
      </c>
      <c r="E55" s="20"/>
      <c r="F55" s="2"/>
      <c r="G55" s="2"/>
      <c r="H55" s="2"/>
      <c r="I55" s="2"/>
      <c r="J55" s="2"/>
      <c r="M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13">
        <v>3.0</v>
      </c>
      <c r="D56" s="18">
        <v>0.32</v>
      </c>
      <c r="E56" s="20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61" t="s">
        <v>14</v>
      </c>
      <c r="D61" s="4"/>
      <c r="E61" s="5">
        <v>426.0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61" t="s">
        <v>9</v>
      </c>
      <c r="D62" s="4"/>
      <c r="E62" s="17">
        <f>E54</f>
        <v>0.3116666667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62" t="s">
        <v>15</v>
      </c>
      <c r="D63" s="4"/>
      <c r="E63" s="23">
        <f> (PI() * ((E62/2000)^2))</f>
        <v>0.00000007629052327</v>
      </c>
      <c r="F63" s="6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59" t="s">
        <v>17</v>
      </c>
      <c r="D65" s="59" t="s">
        <v>18</v>
      </c>
      <c r="E65" s="64" t="s">
        <v>19</v>
      </c>
      <c r="F65" s="64" t="s">
        <v>20</v>
      </c>
      <c r="G65" s="64" t="s">
        <v>21</v>
      </c>
      <c r="H65" s="64" t="s">
        <v>22</v>
      </c>
      <c r="I65" s="64" t="s">
        <v>23</v>
      </c>
      <c r="J65" s="64" t="s">
        <v>24</v>
      </c>
      <c r="K65" s="28" t="s">
        <v>25</v>
      </c>
      <c r="L65" s="29" t="s">
        <v>26</v>
      </c>
      <c r="M65" s="4"/>
      <c r="N65" s="28" t="s">
        <v>27</v>
      </c>
      <c r="O65" s="28" t="s">
        <v>28</v>
      </c>
      <c r="P65" s="30" t="s">
        <v>29</v>
      </c>
      <c r="Q65" s="31" t="s">
        <v>30</v>
      </c>
      <c r="R65" s="4"/>
      <c r="S65" s="30" t="s">
        <v>31</v>
      </c>
      <c r="T65" s="32" t="s">
        <v>32</v>
      </c>
      <c r="U65" s="2"/>
      <c r="V65" s="2"/>
      <c r="W65" s="2"/>
      <c r="X65" s="2"/>
      <c r="Y65" s="2"/>
      <c r="Z65" s="2"/>
      <c r="AA65" s="2"/>
    </row>
    <row r="66">
      <c r="A66" s="2"/>
      <c r="B66" s="2"/>
      <c r="C66" s="5">
        <v>1.0</v>
      </c>
      <c r="D66" s="5">
        <v>0.35109</v>
      </c>
      <c r="E66" s="33">
        <f t="shared" ref="E66:E71" si="33">D66*$G$2</f>
        <v>3.4441929</v>
      </c>
      <c r="F66" s="23">
        <f t="shared" ref="F66:F71" si="34">(E66/$E$63)</f>
        <v>45145750.12</v>
      </c>
      <c r="G66" s="16">
        <v>0.13</v>
      </c>
      <c r="H66" s="34">
        <f t="shared" ref="H66:H71" si="35">G66/$E$14</f>
        <v>0.0003073286052</v>
      </c>
      <c r="I66" s="33">
        <f t="shared" ref="I66:I71" si="36">H66*1000</f>
        <v>0.3073286052</v>
      </c>
      <c r="J66" s="23">
        <f t="shared" ref="J66:J71" si="37"> (E66/$E$63)/H66</f>
        <v>146897325395</v>
      </c>
      <c r="K66" s="17">
        <f t="shared" ref="K66:K71" si="38">$D$4*$G$2</f>
        <v>0.000981</v>
      </c>
      <c r="L66" s="34">
        <f t="shared" ref="L66:L71" si="39"> (1/$E$16^2)*(K66^2)</f>
        <v>168931826.1</v>
      </c>
      <c r="M66" s="35">
        <f t="shared" ref="M66:M71" si="40">(E66/($E$16^2))^2 * ($G$16^2)</f>
        <v>2166830841759</v>
      </c>
      <c r="N66" s="25">
        <f t="shared" ref="N66:N71" si="41"> SQRT(L66 + M66)</f>
        <v>1472073.291</v>
      </c>
      <c r="O66" s="36">
        <f t="shared" ref="O66:O71" si="42">N66/1000000</f>
        <v>1.472073291</v>
      </c>
      <c r="P66" s="37">
        <f t="shared" ref="P66:P71" si="43">$D$2/1000</f>
        <v>0.000005</v>
      </c>
      <c r="Q66" s="34">
        <f t="shared" ref="Q66:Q71" si="44">H66</f>
        <v>0.0003073286052</v>
      </c>
      <c r="R66" s="33">
        <f t="shared" ref="R66:R71" si="45">SQRT(((P66*1000/G66)^2)+(($K$3*1000/$E$61)^2))</f>
        <v>0.038479443</v>
      </c>
      <c r="S66" s="34">
        <f t="shared" ref="S66:S71" si="46">Q66*R66</f>
        <v>0.00001182583355</v>
      </c>
      <c r="T66" s="38">
        <f t="shared" ref="T66:T71" si="47">S66*1000</f>
        <v>0.01182583355</v>
      </c>
      <c r="U66" s="2"/>
      <c r="V66" s="2"/>
      <c r="W66" s="2"/>
      <c r="X66" s="2"/>
      <c r="Y66" s="2"/>
      <c r="Z66" s="2"/>
      <c r="AA66" s="2"/>
    </row>
    <row r="67">
      <c r="A67" s="2"/>
      <c r="B67" s="2"/>
      <c r="C67" s="5">
        <v>2.0</v>
      </c>
      <c r="D67" s="5">
        <v>0.70117</v>
      </c>
      <c r="E67" s="33">
        <f t="shared" si="33"/>
        <v>6.8784777</v>
      </c>
      <c r="F67" s="23">
        <f t="shared" si="34"/>
        <v>90161626.97</v>
      </c>
      <c r="G67" s="16">
        <v>0.23</v>
      </c>
      <c r="H67" s="34">
        <f t="shared" si="35"/>
        <v>0.0005437352246</v>
      </c>
      <c r="I67" s="33">
        <f t="shared" si="36"/>
        <v>0.5437352246</v>
      </c>
      <c r="J67" s="23">
        <f t="shared" si="37"/>
        <v>165818992208</v>
      </c>
      <c r="K67" s="17">
        <f t="shared" si="38"/>
        <v>0.000981</v>
      </c>
      <c r="L67" s="34">
        <f t="shared" si="39"/>
        <v>168931826.1</v>
      </c>
      <c r="M67" s="35">
        <f t="shared" si="40"/>
        <v>8642407531141</v>
      </c>
      <c r="N67" s="25">
        <f t="shared" si="41"/>
        <v>2939825.924</v>
      </c>
      <c r="O67" s="36">
        <f t="shared" si="42"/>
        <v>2.939825924</v>
      </c>
      <c r="P67" s="37">
        <f t="shared" si="43"/>
        <v>0.000005</v>
      </c>
      <c r="Q67" s="34">
        <f t="shared" si="44"/>
        <v>0.0005437352246</v>
      </c>
      <c r="R67" s="33">
        <f t="shared" si="45"/>
        <v>0.02177079201</v>
      </c>
      <c r="S67" s="34">
        <f t="shared" si="46"/>
        <v>0.00001183754648</v>
      </c>
      <c r="T67" s="38">
        <f t="shared" si="47"/>
        <v>0.01183754648</v>
      </c>
      <c r="U67" s="2"/>
      <c r="V67" s="2"/>
      <c r="W67" s="2"/>
      <c r="X67" s="2"/>
      <c r="Y67" s="2"/>
      <c r="Z67" s="2"/>
      <c r="AA67" s="2"/>
    </row>
    <row r="68">
      <c r="A68" s="2"/>
      <c r="B68" s="2"/>
      <c r="C68" s="5">
        <v>3.0</v>
      </c>
      <c r="D68" s="5">
        <v>1.05219</v>
      </c>
      <c r="E68" s="33">
        <f t="shared" si="33"/>
        <v>10.3219839</v>
      </c>
      <c r="F68" s="23">
        <f t="shared" si="34"/>
        <v>135298376</v>
      </c>
      <c r="G68" s="16">
        <v>0.335</v>
      </c>
      <c r="H68" s="34">
        <f t="shared" si="35"/>
        <v>0.0007919621749</v>
      </c>
      <c r="I68" s="33">
        <f t="shared" si="36"/>
        <v>0.7919621749</v>
      </c>
      <c r="J68" s="23">
        <f t="shared" si="37"/>
        <v>170839441899</v>
      </c>
      <c r="K68" s="17">
        <f t="shared" si="38"/>
        <v>0.000981</v>
      </c>
      <c r="L68" s="34">
        <f t="shared" si="39"/>
        <v>168931826.1</v>
      </c>
      <c r="M68" s="35">
        <f t="shared" si="40"/>
        <v>19461505303322</v>
      </c>
      <c r="N68" s="25">
        <f t="shared" si="41"/>
        <v>4411538.76</v>
      </c>
      <c r="O68" s="36">
        <f t="shared" si="42"/>
        <v>4.41153876</v>
      </c>
      <c r="P68" s="37">
        <f t="shared" si="43"/>
        <v>0.000005</v>
      </c>
      <c r="Q68" s="34">
        <f t="shared" si="44"/>
        <v>0.0007919621749</v>
      </c>
      <c r="R68" s="33">
        <f t="shared" si="45"/>
        <v>0.01497145136</v>
      </c>
      <c r="S68" s="34">
        <f t="shared" si="46"/>
        <v>0.00001185682318</v>
      </c>
      <c r="T68" s="38">
        <f t="shared" si="47"/>
        <v>0.01185682318</v>
      </c>
      <c r="U68" s="2"/>
      <c r="V68" s="2"/>
      <c r="W68" s="2"/>
      <c r="X68" s="2"/>
      <c r="Y68" s="2"/>
      <c r="Z68" s="2"/>
      <c r="AA68" s="2"/>
    </row>
    <row r="69">
      <c r="A69" s="2"/>
      <c r="B69" s="2"/>
      <c r="C69" s="5">
        <v>4.0</v>
      </c>
      <c r="D69" s="5">
        <v>1.40243</v>
      </c>
      <c r="E69" s="33">
        <f t="shared" si="33"/>
        <v>13.7578383</v>
      </c>
      <c r="F69" s="23">
        <f t="shared" si="34"/>
        <v>180334826.8</v>
      </c>
      <c r="G69" s="16">
        <v>0.46</v>
      </c>
      <c r="H69" s="34">
        <f t="shared" si="35"/>
        <v>0.001087470449</v>
      </c>
      <c r="I69" s="33">
        <f t="shared" si="36"/>
        <v>1.087470449</v>
      </c>
      <c r="J69" s="23">
        <f t="shared" si="37"/>
        <v>165829634213</v>
      </c>
      <c r="K69" s="17">
        <f t="shared" si="38"/>
        <v>0.000981</v>
      </c>
      <c r="L69" s="34">
        <f t="shared" si="39"/>
        <v>168931826.1</v>
      </c>
      <c r="M69" s="35">
        <f t="shared" si="40"/>
        <v>34574067517134</v>
      </c>
      <c r="N69" s="25">
        <f t="shared" si="41"/>
        <v>5879986.093</v>
      </c>
      <c r="O69" s="36">
        <f t="shared" si="42"/>
        <v>5.879986093</v>
      </c>
      <c r="P69" s="37">
        <f t="shared" si="43"/>
        <v>0.000005</v>
      </c>
      <c r="Q69" s="34">
        <f t="shared" si="44"/>
        <v>0.001087470449</v>
      </c>
      <c r="R69" s="33">
        <f t="shared" si="45"/>
        <v>0.01093275083</v>
      </c>
      <c r="S69" s="34">
        <f t="shared" si="46"/>
        <v>0.00001188904345</v>
      </c>
      <c r="T69" s="38">
        <f t="shared" si="47"/>
        <v>0.01188904345</v>
      </c>
      <c r="U69" s="2"/>
      <c r="V69" s="2"/>
      <c r="W69" s="2"/>
      <c r="X69" s="2"/>
      <c r="Y69" s="2"/>
      <c r="Z69" s="2"/>
      <c r="AA69" s="2"/>
    </row>
    <row r="70">
      <c r="A70" s="2"/>
      <c r="B70" s="2"/>
      <c r="C70" s="5">
        <v>5.0</v>
      </c>
      <c r="D70" s="5">
        <v>1.75246</v>
      </c>
      <c r="E70" s="33">
        <f t="shared" si="33"/>
        <v>17.1916326</v>
      </c>
      <c r="F70" s="23">
        <f t="shared" si="34"/>
        <v>225344274.3</v>
      </c>
      <c r="G70" s="16">
        <v>0.6</v>
      </c>
      <c r="H70" s="34">
        <f t="shared" si="35"/>
        <v>0.001418439716</v>
      </c>
      <c r="I70" s="33">
        <f t="shared" si="36"/>
        <v>1.418439716</v>
      </c>
      <c r="J70" s="23">
        <f t="shared" si="37"/>
        <v>158867713369</v>
      </c>
      <c r="K70" s="17">
        <f t="shared" si="38"/>
        <v>0.000981</v>
      </c>
      <c r="L70" s="34">
        <f t="shared" si="39"/>
        <v>168931826.1</v>
      </c>
      <c r="M70" s="35">
        <f t="shared" si="40"/>
        <v>53986393629826</v>
      </c>
      <c r="N70" s="25">
        <f t="shared" si="41"/>
        <v>7347554.87</v>
      </c>
      <c r="O70" s="36">
        <f t="shared" si="42"/>
        <v>7.34755487</v>
      </c>
      <c r="P70" s="37">
        <f t="shared" si="43"/>
        <v>0.000005</v>
      </c>
      <c r="Q70" s="34">
        <f t="shared" si="44"/>
        <v>0.001418439716</v>
      </c>
      <c r="R70" s="33">
        <f t="shared" si="45"/>
        <v>0.008415582991</v>
      </c>
      <c r="S70" s="34">
        <f t="shared" si="46"/>
        <v>0.00001193699715</v>
      </c>
      <c r="T70" s="38">
        <f t="shared" si="47"/>
        <v>0.01193699715</v>
      </c>
      <c r="U70" s="2"/>
      <c r="V70" s="2"/>
      <c r="W70" s="2"/>
      <c r="X70" s="2"/>
      <c r="Y70" s="2"/>
      <c r="Z70" s="2"/>
      <c r="AA70" s="2"/>
    </row>
    <row r="71">
      <c r="A71" s="2"/>
      <c r="B71" s="2"/>
      <c r="C71" s="5">
        <v>6.0</v>
      </c>
      <c r="D71" s="5">
        <v>1.77873</v>
      </c>
      <c r="E71" s="33">
        <f t="shared" si="33"/>
        <v>17.4493413</v>
      </c>
      <c r="F71" s="23">
        <f t="shared" si="34"/>
        <v>228722265.3</v>
      </c>
      <c r="G71" s="16">
        <v>0.67</v>
      </c>
      <c r="H71" s="65">
        <f t="shared" si="35"/>
        <v>0.00158392435</v>
      </c>
      <c r="I71" s="33">
        <f t="shared" si="36"/>
        <v>1.58392435</v>
      </c>
      <c r="J71" s="23">
        <f t="shared" si="37"/>
        <v>144402265983</v>
      </c>
      <c r="K71" s="17">
        <f t="shared" si="38"/>
        <v>0.000981</v>
      </c>
      <c r="L71" s="34">
        <f t="shared" si="39"/>
        <v>168931826.1</v>
      </c>
      <c r="M71" s="35">
        <f t="shared" si="40"/>
        <v>55617075518696</v>
      </c>
      <c r="N71" s="25">
        <f t="shared" si="41"/>
        <v>7457696.994</v>
      </c>
      <c r="O71" s="36">
        <f t="shared" si="42"/>
        <v>7.457696994</v>
      </c>
      <c r="P71" s="37">
        <f t="shared" si="43"/>
        <v>0.000005</v>
      </c>
      <c r="Q71" s="65">
        <f t="shared" si="44"/>
        <v>0.00158392435</v>
      </c>
      <c r="R71" s="33">
        <f t="shared" si="45"/>
        <v>0.007554421449</v>
      </c>
      <c r="S71" s="34">
        <f t="shared" si="46"/>
        <v>0.00001196563208</v>
      </c>
      <c r="T71" s="38">
        <f t="shared" si="47"/>
        <v>0.01196563208</v>
      </c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60" t="s">
        <v>33</v>
      </c>
      <c r="H72" s="4"/>
      <c r="I72" s="4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G73" s="66" t="s">
        <v>34</v>
      </c>
      <c r="H73" s="4"/>
      <c r="I73" s="41"/>
      <c r="J73" s="2"/>
      <c r="K73" s="2"/>
      <c r="L73" s="2"/>
      <c r="M73" s="2"/>
      <c r="N73" s="1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M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M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M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M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M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M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9" t="s">
        <v>37</v>
      </c>
      <c r="B84" s="2"/>
      <c r="C84" s="10" t="s">
        <v>8</v>
      </c>
      <c r="D84" s="11" t="s">
        <v>9</v>
      </c>
      <c r="E84" s="10" t="s">
        <v>10</v>
      </c>
      <c r="F84" s="10" t="s">
        <v>11</v>
      </c>
      <c r="G84" s="11" t="s">
        <v>12</v>
      </c>
      <c r="H84" s="1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B85" s="2"/>
      <c r="C85" s="13">
        <v>1.0</v>
      </c>
      <c r="D85" s="50">
        <v>0.315</v>
      </c>
      <c r="E85" s="15">
        <f>AVERAGE(D85:D87)</f>
        <v>0.3083333333</v>
      </c>
      <c r="F85" s="16">
        <f> SQRT((1/6) * ((D85-E85)^2 + (D86-E85)^2 + (D87-E85)^2))</f>
        <v>0.006666666667</v>
      </c>
      <c r="G85" s="17">
        <f> SQRT((F85)^2 + ($D$2)^2)</f>
        <v>0.008333333333</v>
      </c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13">
        <v>2.0</v>
      </c>
      <c r="D86" s="18">
        <v>0.295</v>
      </c>
      <c r="E86" s="20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13">
        <v>3.0</v>
      </c>
      <c r="D87" s="18">
        <v>0.315</v>
      </c>
      <c r="E87" s="20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1" t="s">
        <v>14</v>
      </c>
      <c r="D92" s="4"/>
      <c r="E92" s="5">
        <v>426.0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1" t="s">
        <v>9</v>
      </c>
      <c r="D93" s="4"/>
      <c r="E93" s="17">
        <f>E85</f>
        <v>0.3083333333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2" t="s">
        <v>15</v>
      </c>
      <c r="D94" s="4"/>
      <c r="E94" s="23">
        <f> (PI() * ((E93/2000)^2))</f>
        <v>0.00000007466736706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G95" s="18" t="s">
        <v>38</v>
      </c>
      <c r="H95" s="67"/>
      <c r="I95" s="67"/>
      <c r="J95" s="4"/>
      <c r="K95" s="2"/>
      <c r="Z95" s="2"/>
      <c r="AA95" s="2"/>
    </row>
    <row r="96">
      <c r="A96" s="2"/>
      <c r="B96" s="2"/>
      <c r="C96" s="10" t="s">
        <v>17</v>
      </c>
      <c r="D96" s="10" t="s">
        <v>18</v>
      </c>
      <c r="E96" s="27" t="s">
        <v>19</v>
      </c>
      <c r="F96" s="27" t="s">
        <v>20</v>
      </c>
      <c r="G96" s="27" t="s">
        <v>21</v>
      </c>
      <c r="H96" s="27" t="s">
        <v>22</v>
      </c>
      <c r="I96" s="27" t="s">
        <v>23</v>
      </c>
      <c r="J96" s="27" t="s">
        <v>24</v>
      </c>
      <c r="K96" s="28" t="s">
        <v>25</v>
      </c>
      <c r="L96" s="29" t="s">
        <v>26</v>
      </c>
      <c r="M96" s="4"/>
      <c r="N96" s="28" t="s">
        <v>27</v>
      </c>
      <c r="O96" s="28" t="s">
        <v>28</v>
      </c>
      <c r="P96" s="30" t="s">
        <v>29</v>
      </c>
      <c r="Q96" s="31" t="s">
        <v>30</v>
      </c>
      <c r="R96" s="4"/>
      <c r="S96" s="30" t="s">
        <v>31</v>
      </c>
      <c r="T96" s="32" t="s">
        <v>32</v>
      </c>
      <c r="Z96" s="2"/>
      <c r="AA96" s="2"/>
    </row>
    <row r="97">
      <c r="A97" s="2"/>
      <c r="B97" s="2"/>
      <c r="C97" s="5">
        <v>1.0</v>
      </c>
      <c r="D97" s="5">
        <v>0.35092</v>
      </c>
      <c r="E97" s="33">
        <f t="shared" ref="E97:E102" si="48">D97*$G$2</f>
        <v>3.4425252</v>
      </c>
      <c r="F97" s="23">
        <f t="shared" ref="F97:F102" si="49">(E97/$E$94)</f>
        <v>46104815.74</v>
      </c>
      <c r="G97" s="16">
        <v>0.11</v>
      </c>
      <c r="H97" s="34">
        <f t="shared" ref="H97:H102" si="50">G97/$E$92</f>
        <v>0.0002582159624</v>
      </c>
      <c r="I97" s="33">
        <f t="shared" ref="I97:I102" si="51">H97*1000</f>
        <v>0.2582159624</v>
      </c>
      <c r="J97" s="23">
        <f t="shared" ref="J97:J102" si="52"> (E97/$E$94)/H97</f>
        <v>178551377311</v>
      </c>
      <c r="K97" s="17">
        <f t="shared" ref="K97:K102" si="53">$D$4*$G$2</f>
        <v>0.000981</v>
      </c>
      <c r="L97" s="34">
        <f t="shared" ref="L97:L102" si="54"> (1/$E$16^2)*(K97^2)</f>
        <v>168931826.1</v>
      </c>
      <c r="M97" s="35">
        <f t="shared" ref="M97:M102" si="55">(E97/($E$16^2))^2 * ($G$16^2)</f>
        <v>2164732963371</v>
      </c>
      <c r="N97" s="25">
        <f t="shared" ref="N97:N102" si="56"> SQRT(L97 + M97)</f>
        <v>1471360.559</v>
      </c>
      <c r="O97" s="36">
        <f t="shared" ref="O97:O102" si="57">N97/1000000</f>
        <v>1.471360559</v>
      </c>
      <c r="P97" s="37">
        <f t="shared" ref="P97:P102" si="58">$D$2/1000</f>
        <v>0.000005</v>
      </c>
      <c r="Q97" s="34">
        <f t="shared" ref="Q97:Q102" si="59">H97</f>
        <v>0.0002582159624</v>
      </c>
      <c r="R97" s="33">
        <f t="shared" ref="R97:R102" si="60">SQRT(((P97*1000/G97)^2)+(($K$3*1000/$E$92)^2))</f>
        <v>0.04546969645</v>
      </c>
      <c r="S97" s="34">
        <f t="shared" ref="S97:S102" si="61">Q97*R97</f>
        <v>0.00001174100143</v>
      </c>
      <c r="T97" s="38">
        <f t="shared" ref="T97:T102" si="62">S97*1000</f>
        <v>0.01174100143</v>
      </c>
      <c r="Z97" s="2"/>
      <c r="AA97" s="2"/>
    </row>
    <row r="98">
      <c r="A98" s="2"/>
      <c r="B98" s="2"/>
      <c r="C98" s="5">
        <v>2.0</v>
      </c>
      <c r="D98" s="5">
        <v>0.70092</v>
      </c>
      <c r="E98" s="33">
        <f t="shared" si="48"/>
        <v>6.8760252</v>
      </c>
      <c r="F98" s="23">
        <f t="shared" si="49"/>
        <v>92088759.39</v>
      </c>
      <c r="G98" s="16">
        <v>0.22</v>
      </c>
      <c r="H98" s="34">
        <f t="shared" si="50"/>
        <v>0.0005164319249</v>
      </c>
      <c r="I98" s="33">
        <f t="shared" si="51"/>
        <v>0.5164319249</v>
      </c>
      <c r="J98" s="23">
        <f t="shared" si="52"/>
        <v>178317325010</v>
      </c>
      <c r="K98" s="17">
        <f t="shared" si="53"/>
        <v>0.000981</v>
      </c>
      <c r="L98" s="34">
        <f t="shared" si="54"/>
        <v>168931826.1</v>
      </c>
      <c r="M98" s="35">
        <f t="shared" si="55"/>
        <v>8636245782336</v>
      </c>
      <c r="N98" s="25">
        <f t="shared" si="56"/>
        <v>2938777.759</v>
      </c>
      <c r="O98" s="36">
        <f t="shared" si="57"/>
        <v>2.938777759</v>
      </c>
      <c r="P98" s="37">
        <f t="shared" si="58"/>
        <v>0.000005</v>
      </c>
      <c r="Q98" s="34">
        <f t="shared" si="59"/>
        <v>0.0005164319249</v>
      </c>
      <c r="R98" s="33">
        <f t="shared" si="60"/>
        <v>0.02275755958</v>
      </c>
      <c r="S98" s="34">
        <f t="shared" si="61"/>
        <v>0.0000117527303</v>
      </c>
      <c r="T98" s="38">
        <f t="shared" si="62"/>
        <v>0.0117527303</v>
      </c>
      <c r="Z98" s="2"/>
      <c r="AA98" s="2"/>
    </row>
    <row r="99">
      <c r="A99" s="2"/>
      <c r="B99" s="2"/>
      <c r="C99" s="5">
        <v>3.0</v>
      </c>
      <c r="D99" s="5">
        <v>1.05178</v>
      </c>
      <c r="E99" s="33">
        <f t="shared" si="48"/>
        <v>10.3179618</v>
      </c>
      <c r="F99" s="23">
        <f t="shared" si="49"/>
        <v>138185692.2</v>
      </c>
      <c r="G99" s="16">
        <v>0.32</v>
      </c>
      <c r="H99" s="34">
        <f t="shared" si="50"/>
        <v>0.0007511737089</v>
      </c>
      <c r="I99" s="33">
        <f t="shared" si="51"/>
        <v>0.7511737089</v>
      </c>
      <c r="J99" s="23">
        <f t="shared" si="52"/>
        <v>183959702702</v>
      </c>
      <c r="K99" s="17">
        <f t="shared" si="53"/>
        <v>0.000981</v>
      </c>
      <c r="L99" s="34">
        <f t="shared" si="54"/>
        <v>168931826.1</v>
      </c>
      <c r="M99" s="35">
        <f t="shared" si="55"/>
        <v>19446341383175</v>
      </c>
      <c r="N99" s="25">
        <f t="shared" si="56"/>
        <v>4409819.76</v>
      </c>
      <c r="O99" s="36">
        <f t="shared" si="57"/>
        <v>4.40981976</v>
      </c>
      <c r="P99" s="37">
        <f t="shared" si="58"/>
        <v>0.000005</v>
      </c>
      <c r="Q99" s="34">
        <f t="shared" si="59"/>
        <v>0.0007511737089</v>
      </c>
      <c r="R99" s="33">
        <f t="shared" si="60"/>
        <v>0.01566902095</v>
      </c>
      <c r="S99" s="34">
        <f t="shared" si="61"/>
        <v>0.00001177015658</v>
      </c>
      <c r="T99" s="38">
        <f t="shared" si="62"/>
        <v>0.01177015658</v>
      </c>
      <c r="Z99" s="2"/>
      <c r="AA99" s="2"/>
    </row>
    <row r="100">
      <c r="A100" s="2"/>
      <c r="B100" s="2"/>
      <c r="C100" s="5">
        <v>4.0</v>
      </c>
      <c r="D100" s="5">
        <v>1.40189</v>
      </c>
      <c r="E100" s="33">
        <f t="shared" si="48"/>
        <v>13.7525409</v>
      </c>
      <c r="F100" s="23">
        <f t="shared" si="49"/>
        <v>184184087.9</v>
      </c>
      <c r="G100" s="16">
        <v>0.48</v>
      </c>
      <c r="H100" s="34">
        <f t="shared" si="50"/>
        <v>0.001126760563</v>
      </c>
      <c r="I100" s="33">
        <f t="shared" si="51"/>
        <v>1.126760563</v>
      </c>
      <c r="J100" s="23">
        <f t="shared" si="52"/>
        <v>163463378033</v>
      </c>
      <c r="K100" s="17">
        <f t="shared" si="53"/>
        <v>0.000981</v>
      </c>
      <c r="L100" s="34">
        <f t="shared" si="54"/>
        <v>168931826.1</v>
      </c>
      <c r="M100" s="35">
        <f t="shared" si="55"/>
        <v>34547447433342</v>
      </c>
      <c r="N100" s="25">
        <f t="shared" si="56"/>
        <v>5877722.039</v>
      </c>
      <c r="O100" s="36">
        <f t="shared" si="57"/>
        <v>5.877722039</v>
      </c>
      <c r="P100" s="37">
        <f t="shared" si="58"/>
        <v>0.000005</v>
      </c>
      <c r="Q100" s="34">
        <f t="shared" si="59"/>
        <v>0.001126760563</v>
      </c>
      <c r="R100" s="33">
        <f t="shared" si="60"/>
        <v>0.01048258256</v>
      </c>
      <c r="S100" s="34">
        <f t="shared" si="61"/>
        <v>0.00001181136063</v>
      </c>
      <c r="T100" s="38">
        <f t="shared" si="62"/>
        <v>0.01181136063</v>
      </c>
      <c r="Z100" s="2"/>
      <c r="AA100" s="2"/>
    </row>
    <row r="101">
      <c r="A101" s="2"/>
      <c r="B101" s="2"/>
      <c r="C101" s="5">
        <v>5.0</v>
      </c>
      <c r="D101" s="5">
        <v>1.75175</v>
      </c>
      <c r="E101" s="33">
        <f t="shared" si="48"/>
        <v>17.1846675</v>
      </c>
      <c r="F101" s="23">
        <f t="shared" si="49"/>
        <v>230149638</v>
      </c>
      <c r="G101" s="16">
        <v>0.59</v>
      </c>
      <c r="H101" s="34">
        <f t="shared" si="50"/>
        <v>0.001384976526</v>
      </c>
      <c r="I101" s="33">
        <f t="shared" si="51"/>
        <v>1.384976526</v>
      </c>
      <c r="J101" s="23">
        <f t="shared" si="52"/>
        <v>166175840321</v>
      </c>
      <c r="K101" s="17">
        <f t="shared" si="53"/>
        <v>0.000981</v>
      </c>
      <c r="L101" s="34">
        <f t="shared" si="54"/>
        <v>168931826.1</v>
      </c>
      <c r="M101" s="35">
        <f t="shared" si="55"/>
        <v>53942657881439</v>
      </c>
      <c r="N101" s="25">
        <f t="shared" si="56"/>
        <v>7344578.055</v>
      </c>
      <c r="O101" s="36">
        <f t="shared" si="57"/>
        <v>7.344578055</v>
      </c>
      <c r="P101" s="37">
        <f t="shared" si="58"/>
        <v>0.000005</v>
      </c>
      <c r="Q101" s="34">
        <f t="shared" si="59"/>
        <v>0.001384976526</v>
      </c>
      <c r="R101" s="33">
        <f t="shared" si="60"/>
        <v>0.00855546817</v>
      </c>
      <c r="S101" s="34">
        <f t="shared" si="61"/>
        <v>0.00001184912258</v>
      </c>
      <c r="T101" s="38">
        <f t="shared" si="62"/>
        <v>0.01184912258</v>
      </c>
      <c r="Z101" s="2"/>
      <c r="AA101" s="2"/>
    </row>
    <row r="102">
      <c r="A102" s="2"/>
      <c r="B102" s="2"/>
      <c r="C102" s="5">
        <v>6.0</v>
      </c>
      <c r="D102" s="5">
        <v>1.80183</v>
      </c>
      <c r="E102" s="33">
        <f t="shared" si="48"/>
        <v>17.6759523</v>
      </c>
      <c r="F102" s="23">
        <f t="shared" si="49"/>
        <v>236729283.4</v>
      </c>
      <c r="G102" s="16">
        <v>0.61</v>
      </c>
      <c r="H102" s="34">
        <f t="shared" si="50"/>
        <v>0.001431924883</v>
      </c>
      <c r="I102" s="33">
        <f t="shared" si="51"/>
        <v>1.431924883</v>
      </c>
      <c r="J102" s="23">
        <f t="shared" si="52"/>
        <v>165322417607</v>
      </c>
      <c r="K102" s="17">
        <f t="shared" si="53"/>
        <v>0.000981</v>
      </c>
      <c r="L102" s="34">
        <f t="shared" si="54"/>
        <v>168931826.1</v>
      </c>
      <c r="M102" s="35">
        <f t="shared" si="55"/>
        <v>57071030717185</v>
      </c>
      <c r="N102" s="25">
        <f t="shared" si="56"/>
        <v>7554548.276</v>
      </c>
      <c r="O102" s="36">
        <f t="shared" si="57"/>
        <v>7.554548276</v>
      </c>
      <c r="P102" s="37">
        <f t="shared" si="58"/>
        <v>0.000005</v>
      </c>
      <c r="Q102" s="34">
        <f t="shared" si="59"/>
        <v>0.001431924883</v>
      </c>
      <c r="R102" s="33">
        <f t="shared" si="60"/>
        <v>0.008280328066</v>
      </c>
      <c r="S102" s="34">
        <f t="shared" si="61"/>
        <v>0.00001185680779</v>
      </c>
      <c r="T102" s="38">
        <f t="shared" si="62"/>
        <v>0.01185680779</v>
      </c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40" t="s">
        <v>33</v>
      </c>
      <c r="I103" s="41"/>
      <c r="J103" s="2"/>
      <c r="K103" s="2"/>
      <c r="Z103" s="2"/>
      <c r="AA103" s="2"/>
    </row>
    <row r="104">
      <c r="A104" s="2"/>
      <c r="B104" s="2"/>
      <c r="H104" s="1" t="s">
        <v>34</v>
      </c>
      <c r="I104" s="41"/>
      <c r="J104" s="2"/>
      <c r="K104" s="2"/>
      <c r="L104" s="2"/>
      <c r="M104" s="2"/>
      <c r="N104" s="1"/>
      <c r="Z104" s="2"/>
      <c r="AA104" s="2"/>
    </row>
    <row r="105">
      <c r="A105" s="2"/>
      <c r="B105" s="2"/>
      <c r="C105" s="66" t="s">
        <v>39</v>
      </c>
      <c r="D105" s="67"/>
      <c r="E105" s="67"/>
      <c r="F105" s="67"/>
      <c r="G105" s="4"/>
      <c r="H105" s="1"/>
      <c r="I105" s="2"/>
      <c r="J105" s="2"/>
      <c r="M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M106" s="2"/>
      <c r="X106" s="2"/>
      <c r="Y106" s="2"/>
      <c r="Z106" s="2"/>
      <c r="AA106" s="2"/>
    </row>
    <row r="107">
      <c r="A107" s="2"/>
      <c r="B107" s="2"/>
      <c r="M107" s="2"/>
      <c r="X107" s="2"/>
      <c r="Y107" s="2"/>
      <c r="Z107" s="2"/>
      <c r="AA107" s="2"/>
    </row>
    <row r="108">
      <c r="A108" s="2"/>
      <c r="B108" s="2"/>
      <c r="M108" s="2"/>
      <c r="X108" s="2"/>
      <c r="Y108" s="2"/>
      <c r="Z108" s="2"/>
      <c r="AA108" s="2"/>
    </row>
    <row r="109">
      <c r="A109" s="2"/>
      <c r="B109" s="2"/>
      <c r="M109" s="2"/>
      <c r="X109" s="2"/>
      <c r="Y109" s="2"/>
      <c r="Z109" s="2"/>
      <c r="AA109" s="2"/>
    </row>
    <row r="110">
      <c r="A110" s="9" t="s">
        <v>37</v>
      </c>
      <c r="B110" s="2"/>
      <c r="M110" s="2"/>
      <c r="X110" s="2"/>
      <c r="Y110" s="2"/>
      <c r="Z110" s="2"/>
      <c r="AA110" s="2"/>
    </row>
    <row r="111">
      <c r="B111" s="2"/>
      <c r="X111" s="2"/>
      <c r="Y111" s="2"/>
      <c r="Z111" s="2"/>
      <c r="AA111" s="2"/>
    </row>
    <row r="112">
      <c r="A112" s="2"/>
      <c r="B112" s="2"/>
      <c r="X112" s="2"/>
      <c r="Y112" s="2"/>
      <c r="Z112" s="2"/>
      <c r="AA112" s="2"/>
    </row>
    <row r="113">
      <c r="A113" s="2"/>
      <c r="B113" s="2"/>
      <c r="X113" s="2"/>
      <c r="Y113" s="2"/>
      <c r="Z113" s="2"/>
      <c r="AA113" s="2"/>
    </row>
    <row r="114">
      <c r="A114" s="2"/>
      <c r="B114" s="2"/>
      <c r="X114" s="2"/>
      <c r="Y114" s="2"/>
      <c r="Z114" s="2"/>
      <c r="AA114" s="2"/>
    </row>
    <row r="115">
      <c r="A115" s="2"/>
      <c r="B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18" t="s">
        <v>40</v>
      </c>
      <c r="K116" s="67"/>
      <c r="L116" s="67"/>
      <c r="M116" s="4"/>
      <c r="N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7" t="s">
        <v>21</v>
      </c>
      <c r="K117" s="27" t="s">
        <v>22</v>
      </c>
      <c r="L117" s="27" t="s">
        <v>23</v>
      </c>
      <c r="M117" s="27" t="s">
        <v>24</v>
      </c>
      <c r="N117" s="28" t="s">
        <v>25</v>
      </c>
      <c r="O117" s="29" t="s">
        <v>26</v>
      </c>
      <c r="P117" s="4"/>
      <c r="Q117" s="28" t="s">
        <v>27</v>
      </c>
      <c r="R117" s="28" t="s">
        <v>28</v>
      </c>
      <c r="S117" s="30" t="s">
        <v>29</v>
      </c>
      <c r="T117" s="31" t="s">
        <v>30</v>
      </c>
      <c r="U117" s="4"/>
      <c r="V117" s="30" t="s">
        <v>31</v>
      </c>
      <c r="W117" s="32" t="s">
        <v>32</v>
      </c>
      <c r="X117" s="2"/>
      <c r="Y117" s="2"/>
      <c r="Z117" s="2"/>
      <c r="AA117" s="2"/>
    </row>
    <row r="118">
      <c r="A118" s="2"/>
      <c r="C118" s="2"/>
      <c r="D118" s="2"/>
      <c r="E118" s="2"/>
      <c r="F118" s="2"/>
      <c r="G118" s="2"/>
      <c r="H118" s="2"/>
      <c r="I118" s="2"/>
      <c r="J118" s="16">
        <v>0.11</v>
      </c>
      <c r="K118" s="34">
        <f t="shared" ref="K118:K123" si="63">J118/$E$92</f>
        <v>0.0002582159624</v>
      </c>
      <c r="L118" s="33">
        <f t="shared" ref="L118:L123" si="64">K118*1000</f>
        <v>0.2582159624</v>
      </c>
      <c r="M118" s="23">
        <f t="shared" ref="M118:M123" si="65"> (E97/$E$94)/K118</f>
        <v>178551377311</v>
      </c>
      <c r="N118" s="17">
        <f t="shared" ref="N118:N123" si="66">$D$4*$G$2</f>
        <v>0.000981</v>
      </c>
      <c r="O118" s="34">
        <f t="shared" ref="O118:O123" si="67"> (1/$E$16^2)*(K97^2)</f>
        <v>168931826.1</v>
      </c>
      <c r="P118" s="35">
        <f t="shared" ref="P118:P123" si="68">(E97/($E$16^2))^2 * ($G$16^2)</f>
        <v>2164732963371</v>
      </c>
      <c r="Q118" s="25">
        <f t="shared" ref="Q118:Q123" si="69"> SQRT(O118 + P118)</f>
        <v>1471360.559</v>
      </c>
      <c r="R118" s="36">
        <f t="shared" ref="R118:R123" si="70">Q118/1000000</f>
        <v>1.471360559</v>
      </c>
      <c r="S118" s="37">
        <f t="shared" ref="S118:S123" si="71">$D$2/1000</f>
        <v>0.000005</v>
      </c>
      <c r="T118" s="34">
        <f t="shared" ref="T118:T123" si="72">K118</f>
        <v>0.0002582159624</v>
      </c>
      <c r="U118" s="33">
        <f t="shared" ref="U118:U123" si="73">SQRT(((S118*1000/J118)^2)+(($K$3*1000/$E$92)^2))</f>
        <v>0.04546969645</v>
      </c>
      <c r="V118" s="34">
        <f t="shared" ref="V118:V123" si="74">T118*U118</f>
        <v>0.00001174100143</v>
      </c>
      <c r="W118" s="38">
        <f t="shared" ref="W118:W123" si="75">V118*1000</f>
        <v>0.01174100143</v>
      </c>
      <c r="AA118" s="2"/>
    </row>
    <row r="119">
      <c r="A119" s="2"/>
      <c r="C119" s="2"/>
      <c r="D119" s="2"/>
      <c r="E119" s="2"/>
      <c r="F119" s="2"/>
      <c r="G119" s="2"/>
      <c r="H119" s="2"/>
      <c r="I119" s="2"/>
      <c r="J119" s="16">
        <v>0.22</v>
      </c>
      <c r="K119" s="34">
        <f t="shared" si="63"/>
        <v>0.0005164319249</v>
      </c>
      <c r="L119" s="33">
        <f t="shared" si="64"/>
        <v>0.5164319249</v>
      </c>
      <c r="M119" s="23">
        <f t="shared" si="65"/>
        <v>178317325010</v>
      </c>
      <c r="N119" s="17">
        <f t="shared" si="66"/>
        <v>0.000981</v>
      </c>
      <c r="O119" s="34">
        <f t="shared" si="67"/>
        <v>168931826.1</v>
      </c>
      <c r="P119" s="35">
        <f t="shared" si="68"/>
        <v>8636245782336</v>
      </c>
      <c r="Q119" s="25">
        <f t="shared" si="69"/>
        <v>2938777.759</v>
      </c>
      <c r="R119" s="36">
        <f t="shared" si="70"/>
        <v>2.938777759</v>
      </c>
      <c r="S119" s="37">
        <f t="shared" si="71"/>
        <v>0.000005</v>
      </c>
      <c r="T119" s="34">
        <f t="shared" si="72"/>
        <v>0.0005164319249</v>
      </c>
      <c r="U119" s="33">
        <f t="shared" si="73"/>
        <v>0.02275755958</v>
      </c>
      <c r="V119" s="34">
        <f t="shared" si="74"/>
        <v>0.0000117527303</v>
      </c>
      <c r="W119" s="38">
        <f t="shared" si="75"/>
        <v>0.0117527303</v>
      </c>
      <c r="AA119" s="2"/>
    </row>
    <row r="120">
      <c r="A120" s="2"/>
      <c r="C120" s="48" t="s">
        <v>8</v>
      </c>
      <c r="D120" s="49" t="s">
        <v>9</v>
      </c>
      <c r="E120" s="48" t="s">
        <v>10</v>
      </c>
      <c r="F120" s="48" t="s">
        <v>11</v>
      </c>
      <c r="G120" s="49" t="s">
        <v>12</v>
      </c>
      <c r="H120" s="12"/>
      <c r="I120" s="2"/>
      <c r="J120" s="16">
        <v>0.32</v>
      </c>
      <c r="K120" s="34">
        <f t="shared" si="63"/>
        <v>0.0007511737089</v>
      </c>
      <c r="L120" s="33">
        <f t="shared" si="64"/>
        <v>0.7511737089</v>
      </c>
      <c r="M120" s="23">
        <f t="shared" si="65"/>
        <v>183959702702</v>
      </c>
      <c r="N120" s="17">
        <f t="shared" si="66"/>
        <v>0.000981</v>
      </c>
      <c r="O120" s="34">
        <f t="shared" si="67"/>
        <v>168931826.1</v>
      </c>
      <c r="P120" s="35">
        <f t="shared" si="68"/>
        <v>19446341383175</v>
      </c>
      <c r="Q120" s="25">
        <f t="shared" si="69"/>
        <v>4409819.76</v>
      </c>
      <c r="R120" s="36">
        <f t="shared" si="70"/>
        <v>4.40981976</v>
      </c>
      <c r="S120" s="37">
        <f t="shared" si="71"/>
        <v>0.000005</v>
      </c>
      <c r="T120" s="34">
        <f t="shared" si="72"/>
        <v>0.0007511737089</v>
      </c>
      <c r="U120" s="33">
        <f t="shared" si="73"/>
        <v>0.01566902095</v>
      </c>
      <c r="V120" s="34">
        <f t="shared" si="74"/>
        <v>0.00001177015658</v>
      </c>
      <c r="W120" s="38">
        <f t="shared" si="75"/>
        <v>0.01177015658</v>
      </c>
      <c r="AA120" s="2"/>
    </row>
    <row r="121">
      <c r="A121" s="2"/>
      <c r="C121" s="13">
        <v>1.0</v>
      </c>
      <c r="D121" s="50">
        <v>0.53</v>
      </c>
      <c r="E121" s="15">
        <f>AVERAGE(D121:D123)</f>
        <v>0.5333333333</v>
      </c>
      <c r="F121" s="16">
        <f> SQRT((1/6) * ((D121-E121)^2 + (D122-E121)^2 + (D123-E121)^2))</f>
        <v>0.001666666667</v>
      </c>
      <c r="G121" s="17">
        <f> SQRT((F121)^2 + ($D$2)^2)</f>
        <v>0.005270462767</v>
      </c>
      <c r="H121" s="2"/>
      <c r="I121" s="2"/>
      <c r="J121" s="16">
        <v>0.44</v>
      </c>
      <c r="K121" s="34">
        <f t="shared" si="63"/>
        <v>0.00103286385</v>
      </c>
      <c r="L121" s="33">
        <f t="shared" si="64"/>
        <v>1.03286385</v>
      </c>
      <c r="M121" s="23">
        <f t="shared" si="65"/>
        <v>178323685127</v>
      </c>
      <c r="N121" s="17">
        <f t="shared" si="66"/>
        <v>0.000981</v>
      </c>
      <c r="O121" s="34">
        <f t="shared" si="67"/>
        <v>168931826.1</v>
      </c>
      <c r="P121" s="35">
        <f t="shared" si="68"/>
        <v>34547447433342</v>
      </c>
      <c r="Q121" s="25">
        <f t="shared" si="69"/>
        <v>5877722.039</v>
      </c>
      <c r="R121" s="36">
        <f t="shared" si="70"/>
        <v>5.877722039</v>
      </c>
      <c r="S121" s="37">
        <f t="shared" si="71"/>
        <v>0.000005</v>
      </c>
      <c r="T121" s="34">
        <f t="shared" si="72"/>
        <v>0.00103286385</v>
      </c>
      <c r="U121" s="33">
        <f t="shared" si="73"/>
        <v>0.01142408964</v>
      </c>
      <c r="V121" s="34">
        <f t="shared" si="74"/>
        <v>0.0000117995292</v>
      </c>
      <c r="W121" s="38">
        <f t="shared" si="75"/>
        <v>0.0117995292</v>
      </c>
      <c r="AA121" s="2"/>
    </row>
    <row r="122">
      <c r="A122" s="2"/>
      <c r="C122" s="13">
        <v>2.0</v>
      </c>
      <c r="D122" s="18">
        <v>0.535</v>
      </c>
      <c r="E122" s="20"/>
      <c r="F122" s="2"/>
      <c r="G122" s="2"/>
      <c r="H122" s="2"/>
      <c r="I122" s="2"/>
      <c r="J122" s="16">
        <v>0.55</v>
      </c>
      <c r="K122" s="34">
        <f t="shared" si="63"/>
        <v>0.001291079812</v>
      </c>
      <c r="L122" s="33">
        <f t="shared" si="64"/>
        <v>1.291079812</v>
      </c>
      <c r="M122" s="23">
        <f t="shared" si="65"/>
        <v>178261355981</v>
      </c>
      <c r="N122" s="17">
        <f t="shared" si="66"/>
        <v>0.000981</v>
      </c>
      <c r="O122" s="34">
        <f t="shared" si="67"/>
        <v>168931826.1</v>
      </c>
      <c r="P122" s="35">
        <f t="shared" si="68"/>
        <v>53942657881439</v>
      </c>
      <c r="Q122" s="25">
        <f t="shared" si="69"/>
        <v>7344578.055</v>
      </c>
      <c r="R122" s="36">
        <f t="shared" si="70"/>
        <v>7.344578055</v>
      </c>
      <c r="S122" s="37">
        <f t="shared" si="71"/>
        <v>0.000005</v>
      </c>
      <c r="T122" s="34">
        <f t="shared" si="72"/>
        <v>0.001291079812</v>
      </c>
      <c r="U122" s="33">
        <f t="shared" si="73"/>
        <v>0.00916636355</v>
      </c>
      <c r="V122" s="34">
        <f t="shared" si="74"/>
        <v>0.00001183450693</v>
      </c>
      <c r="W122" s="38">
        <f t="shared" si="75"/>
        <v>0.01183450693</v>
      </c>
      <c r="AA122" s="2"/>
    </row>
    <row r="123">
      <c r="A123" s="2"/>
      <c r="C123" s="13">
        <v>3.0</v>
      </c>
      <c r="D123" s="18">
        <v>0.535</v>
      </c>
      <c r="E123" s="20"/>
      <c r="I123" s="2"/>
      <c r="J123" s="16">
        <v>0.56</v>
      </c>
      <c r="K123" s="34">
        <f t="shared" si="63"/>
        <v>0.001314553991</v>
      </c>
      <c r="L123" s="33">
        <f t="shared" si="64"/>
        <v>1.314553991</v>
      </c>
      <c r="M123" s="23">
        <f t="shared" si="65"/>
        <v>180083347750</v>
      </c>
      <c r="N123" s="17">
        <f t="shared" si="66"/>
        <v>0.000981</v>
      </c>
      <c r="O123" s="34">
        <f t="shared" si="67"/>
        <v>168931826.1</v>
      </c>
      <c r="P123" s="35">
        <f t="shared" si="68"/>
        <v>57071030717185</v>
      </c>
      <c r="Q123" s="25">
        <f t="shared" si="69"/>
        <v>7554548.276</v>
      </c>
      <c r="R123" s="36">
        <f t="shared" si="70"/>
        <v>7.554548276</v>
      </c>
      <c r="S123" s="37">
        <f t="shared" si="71"/>
        <v>0.000005</v>
      </c>
      <c r="T123" s="34">
        <f t="shared" si="72"/>
        <v>0.001314553991</v>
      </c>
      <c r="U123" s="33">
        <f t="shared" si="73"/>
        <v>0.009005386187</v>
      </c>
      <c r="V123" s="34">
        <f t="shared" si="74"/>
        <v>0.00001183806635</v>
      </c>
      <c r="W123" s="38">
        <f t="shared" si="75"/>
        <v>0.01183806635</v>
      </c>
      <c r="AA123" s="2"/>
    </row>
    <row r="124">
      <c r="A124" s="2"/>
      <c r="I124" s="2"/>
      <c r="J124" s="2"/>
      <c r="K124" s="2"/>
      <c r="L124" s="2"/>
      <c r="M124" s="2"/>
      <c r="N124" s="2"/>
      <c r="Q124" s="2"/>
      <c r="R124" s="2"/>
      <c r="S124" s="2"/>
      <c r="T124" s="2"/>
      <c r="U124" s="2"/>
      <c r="V124" s="2"/>
      <c r="W124" s="2"/>
      <c r="AA124" s="2"/>
    </row>
    <row r="125">
      <c r="A125" s="2"/>
      <c r="I125" s="2"/>
      <c r="J125" s="66" t="s">
        <v>41</v>
      </c>
      <c r="K125" s="67"/>
      <c r="L125" s="67"/>
      <c r="M125" s="67"/>
      <c r="N125" s="4"/>
      <c r="Q125" s="2"/>
      <c r="R125" s="2"/>
      <c r="S125" s="2"/>
      <c r="T125" s="2"/>
      <c r="U125" s="2"/>
      <c r="V125" s="2"/>
      <c r="W125" s="2"/>
      <c r="AA125" s="2"/>
    </row>
    <row r="126">
      <c r="A126" s="2"/>
      <c r="AA126" s="2"/>
    </row>
    <row r="127">
      <c r="A127" s="2"/>
      <c r="K127" s="2"/>
      <c r="L127" s="2"/>
      <c r="M127" s="2"/>
      <c r="N127" s="1"/>
      <c r="O127" s="1"/>
      <c r="AA127" s="2"/>
    </row>
    <row r="128">
      <c r="A128" s="2"/>
      <c r="M128" s="2"/>
      <c r="AA128" s="2"/>
    </row>
    <row r="129">
      <c r="A129" s="2"/>
      <c r="M129" s="2"/>
      <c r="AA129" s="2"/>
    </row>
    <row r="130">
      <c r="A130" s="2"/>
      <c r="M130" s="2"/>
      <c r="AA130" s="2"/>
    </row>
    <row r="131">
      <c r="A131" s="2"/>
      <c r="M131" s="2"/>
      <c r="AA131" s="2"/>
    </row>
    <row r="132">
      <c r="A132" s="2"/>
      <c r="M132" s="2"/>
      <c r="AA132" s="2"/>
    </row>
    <row r="133">
      <c r="A133" s="2"/>
      <c r="M133" s="2"/>
      <c r="AA133" s="2"/>
    </row>
    <row r="134">
      <c r="A134" s="2"/>
      <c r="AA134" s="2"/>
    </row>
    <row r="135">
      <c r="A135" s="2"/>
      <c r="AA135" s="2"/>
    </row>
    <row r="136">
      <c r="A136" s="2"/>
      <c r="AA136" s="2"/>
    </row>
    <row r="137">
      <c r="A137" s="2"/>
      <c r="AA137" s="2"/>
    </row>
    <row r="138">
      <c r="A138" s="2"/>
      <c r="AA138" s="2"/>
    </row>
    <row r="139">
      <c r="A139" s="2"/>
      <c r="B139" s="2"/>
      <c r="C139" s="2"/>
      <c r="D139" s="51" t="s">
        <v>14</v>
      </c>
      <c r="E139" s="4"/>
      <c r="F139" s="5">
        <v>384.0</v>
      </c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51" t="s">
        <v>9</v>
      </c>
      <c r="E140" s="4"/>
      <c r="F140" s="17">
        <f>E121</f>
        <v>0.5333333333</v>
      </c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54" t="s">
        <v>15</v>
      </c>
      <c r="E141" s="4"/>
      <c r="F141" s="23">
        <f> (PI() * ((F140/2000)^2))</f>
        <v>0.0000002234021443</v>
      </c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H142" s="18" t="s">
        <v>38</v>
      </c>
      <c r="I142" s="67"/>
      <c r="J142" s="67"/>
      <c r="K142" s="4"/>
      <c r="L142" s="2"/>
      <c r="Q142" s="2"/>
      <c r="AA142" s="2"/>
    </row>
    <row r="143">
      <c r="A143" s="2"/>
      <c r="B143" s="2"/>
      <c r="C143" s="2"/>
      <c r="D143" s="48" t="s">
        <v>17</v>
      </c>
      <c r="E143" s="48" t="s">
        <v>18</v>
      </c>
      <c r="F143" s="55" t="s">
        <v>19</v>
      </c>
      <c r="G143" s="55" t="s">
        <v>20</v>
      </c>
      <c r="H143" s="55" t="s">
        <v>21</v>
      </c>
      <c r="I143" s="55" t="s">
        <v>22</v>
      </c>
      <c r="J143" s="55" t="s">
        <v>23</v>
      </c>
      <c r="K143" s="55" t="s">
        <v>24</v>
      </c>
      <c r="L143" s="28" t="s">
        <v>25</v>
      </c>
      <c r="M143" s="29" t="s">
        <v>26</v>
      </c>
      <c r="N143" s="4"/>
      <c r="O143" s="28" t="s">
        <v>27</v>
      </c>
      <c r="P143" s="28" t="s">
        <v>28</v>
      </c>
      <c r="Q143" s="30" t="s">
        <v>29</v>
      </c>
      <c r="R143" s="31" t="s">
        <v>30</v>
      </c>
      <c r="S143" s="4"/>
      <c r="T143" s="30" t="s">
        <v>31</v>
      </c>
      <c r="U143" s="32" t="s">
        <v>32</v>
      </c>
      <c r="AA143" s="2"/>
    </row>
    <row r="144">
      <c r="A144" s="2"/>
      <c r="B144" s="2"/>
      <c r="C144" s="2"/>
      <c r="D144" s="5">
        <v>1.0</v>
      </c>
      <c r="E144" s="5">
        <v>0.35092</v>
      </c>
      <c r="F144" s="33">
        <f t="shared" ref="F144:F149" si="76">E144*$G$2</f>
        <v>3.4425252</v>
      </c>
      <c r="G144" s="23">
        <f t="shared" ref="G144:G149" si="77">(F144/$F$141)</f>
        <v>15409544.13</v>
      </c>
      <c r="H144" s="16">
        <v>0.05</v>
      </c>
      <c r="I144" s="34">
        <f t="shared" ref="I144:I149" si="78">H144/$E$92</f>
        <v>0.000117370892</v>
      </c>
      <c r="J144" s="33">
        <f t="shared" ref="J144:J149" si="79">I144*1000</f>
        <v>0.117370892</v>
      </c>
      <c r="K144" s="23">
        <f t="shared" ref="K144:K149" si="80"> (F144/$F$141)/I144</f>
        <v>131289315963</v>
      </c>
      <c r="L144" s="17">
        <f t="shared" ref="L144:L149" si="81">$D$4*$G$2</f>
        <v>0.000981</v>
      </c>
      <c r="M144" s="34">
        <f t="shared" ref="M144:M149" si="82"> (1/$E$16^2)*(L144^2)</f>
        <v>168931826.1</v>
      </c>
      <c r="N144" s="35">
        <f t="shared" ref="N144:N149" si="83">(F144/($E$16^2))^2 * ($G$16^2)</f>
        <v>2164732963371</v>
      </c>
      <c r="O144" s="25">
        <f t="shared" ref="O144:O149" si="84"> SQRT(M144 + N144)</f>
        <v>1471360.559</v>
      </c>
      <c r="P144" s="36">
        <f t="shared" ref="P144:P149" si="85">O144/1000000</f>
        <v>1.471360559</v>
      </c>
      <c r="Q144" s="37">
        <f t="shared" ref="Q144:Q149" si="86">$D$2/1000</f>
        <v>0.000005</v>
      </c>
      <c r="R144" s="34">
        <f t="shared" ref="R144:R149" si="87">I144</f>
        <v>0.000117370892</v>
      </c>
      <c r="S144" s="33">
        <f t="shared" ref="S144:S149" si="88">SQRT(((Q144*1000/H144)^2)+(($K$3*1000/$F$139)^2))</f>
        <v>0.1000084767</v>
      </c>
      <c r="T144" s="34">
        <f t="shared" ref="T144:T149" si="89">R144*S144</f>
        <v>0.00001173808413</v>
      </c>
      <c r="U144" s="38">
        <f t="shared" ref="U144:U149" si="90">T144*1000</f>
        <v>0.01173808413</v>
      </c>
      <c r="AA144" s="2"/>
    </row>
    <row r="145">
      <c r="A145" s="2"/>
      <c r="B145" s="2"/>
      <c r="C145" s="2"/>
      <c r="D145" s="5">
        <v>2.0</v>
      </c>
      <c r="E145" s="5">
        <v>0.70092</v>
      </c>
      <c r="F145" s="33">
        <f t="shared" si="76"/>
        <v>6.8760252</v>
      </c>
      <c r="G145" s="23">
        <f t="shared" si="77"/>
        <v>30778689.36</v>
      </c>
      <c r="H145" s="16">
        <v>0.13</v>
      </c>
      <c r="I145" s="34">
        <f t="shared" si="78"/>
        <v>0.0003051643192</v>
      </c>
      <c r="J145" s="33">
        <f t="shared" si="79"/>
        <v>0.3051643192</v>
      </c>
      <c r="K145" s="23">
        <f t="shared" si="80"/>
        <v>100859397435</v>
      </c>
      <c r="L145" s="17">
        <f t="shared" si="81"/>
        <v>0.000981</v>
      </c>
      <c r="M145" s="34">
        <f t="shared" si="82"/>
        <v>168931826.1</v>
      </c>
      <c r="N145" s="35">
        <f t="shared" si="83"/>
        <v>8636245782336</v>
      </c>
      <c r="O145" s="25">
        <f t="shared" si="84"/>
        <v>2938777.759</v>
      </c>
      <c r="P145" s="36">
        <f t="shared" si="85"/>
        <v>2.938777759</v>
      </c>
      <c r="Q145" s="37">
        <f t="shared" si="86"/>
        <v>0.000005</v>
      </c>
      <c r="R145" s="34">
        <f t="shared" si="87"/>
        <v>0.0003051643192</v>
      </c>
      <c r="S145" s="33">
        <f t="shared" si="88"/>
        <v>0.03848357262</v>
      </c>
      <c r="T145" s="34">
        <f t="shared" si="89"/>
        <v>0.00001174381324</v>
      </c>
      <c r="U145" s="38">
        <f t="shared" si="90"/>
        <v>0.01174381324</v>
      </c>
      <c r="AA145" s="2"/>
    </row>
    <row r="146">
      <c r="A146" s="2"/>
      <c r="B146" s="2"/>
      <c r="C146" s="2"/>
      <c r="D146" s="5">
        <v>3.0</v>
      </c>
      <c r="E146" s="5">
        <v>1.05178</v>
      </c>
      <c r="F146" s="33">
        <f t="shared" si="76"/>
        <v>10.3179618</v>
      </c>
      <c r="G146" s="23">
        <f t="shared" si="77"/>
        <v>46185598.77</v>
      </c>
      <c r="H146" s="16">
        <v>0.2</v>
      </c>
      <c r="I146" s="34">
        <f t="shared" si="78"/>
        <v>0.0004694835681</v>
      </c>
      <c r="J146" s="33">
        <f t="shared" si="79"/>
        <v>0.4694835681</v>
      </c>
      <c r="K146" s="23">
        <f t="shared" si="80"/>
        <v>98375325390</v>
      </c>
      <c r="L146" s="17">
        <f t="shared" si="81"/>
        <v>0.000981</v>
      </c>
      <c r="M146" s="34">
        <f t="shared" si="82"/>
        <v>168931826.1</v>
      </c>
      <c r="N146" s="35">
        <f t="shared" si="83"/>
        <v>19446341383175</v>
      </c>
      <c r="O146" s="25">
        <f t="shared" si="84"/>
        <v>4409819.76</v>
      </c>
      <c r="P146" s="36">
        <f t="shared" si="85"/>
        <v>4.40981976</v>
      </c>
      <c r="Q146" s="37">
        <f t="shared" si="86"/>
        <v>0.000005</v>
      </c>
      <c r="R146" s="34">
        <f t="shared" si="87"/>
        <v>0.0004694835681</v>
      </c>
      <c r="S146" s="33">
        <f t="shared" si="88"/>
        <v>0.02503388546</v>
      </c>
      <c r="T146" s="34">
        <f t="shared" si="89"/>
        <v>0.00001175299787</v>
      </c>
      <c r="U146" s="38">
        <f t="shared" si="90"/>
        <v>0.01175299787</v>
      </c>
      <c r="AA146" s="2"/>
    </row>
    <row r="147">
      <c r="A147" s="2"/>
      <c r="B147" s="2"/>
      <c r="C147" s="2"/>
      <c r="D147" s="5">
        <v>4.0</v>
      </c>
      <c r="E147" s="5">
        <v>1.40189</v>
      </c>
      <c r="F147" s="33">
        <f t="shared" si="76"/>
        <v>13.7525409</v>
      </c>
      <c r="G147" s="23">
        <f t="shared" si="77"/>
        <v>61559574.31</v>
      </c>
      <c r="H147" s="16">
        <v>0.28</v>
      </c>
      <c r="I147" s="34">
        <f t="shared" si="78"/>
        <v>0.0006572769953</v>
      </c>
      <c r="J147" s="33">
        <f t="shared" si="79"/>
        <v>0.6572769953</v>
      </c>
      <c r="K147" s="23">
        <f t="shared" si="80"/>
        <v>93658495198</v>
      </c>
      <c r="L147" s="17">
        <f t="shared" si="81"/>
        <v>0.000981</v>
      </c>
      <c r="M147" s="34">
        <f t="shared" si="82"/>
        <v>168931826.1</v>
      </c>
      <c r="N147" s="35">
        <f t="shared" si="83"/>
        <v>34547447433342</v>
      </c>
      <c r="O147" s="25">
        <f t="shared" si="84"/>
        <v>5877722.039</v>
      </c>
      <c r="P147" s="36">
        <f t="shared" si="85"/>
        <v>5.877722039</v>
      </c>
      <c r="Q147" s="37">
        <f t="shared" si="86"/>
        <v>0.000005</v>
      </c>
      <c r="R147" s="34">
        <f t="shared" si="87"/>
        <v>0.0006572769953</v>
      </c>
      <c r="S147" s="33">
        <f t="shared" si="88"/>
        <v>0.01790455171</v>
      </c>
      <c r="T147" s="34">
        <f t="shared" si="89"/>
        <v>0.00001176824995</v>
      </c>
      <c r="U147" s="38">
        <f t="shared" si="90"/>
        <v>0.01176824995</v>
      </c>
      <c r="AA147" s="2"/>
    </row>
    <row r="148">
      <c r="A148" s="2"/>
      <c r="B148" s="2"/>
      <c r="C148" s="2"/>
      <c r="D148" s="5">
        <v>5.0</v>
      </c>
      <c r="E148" s="5">
        <v>1.75175</v>
      </c>
      <c r="F148" s="33">
        <f t="shared" si="76"/>
        <v>17.1846675</v>
      </c>
      <c r="G148" s="23">
        <f t="shared" si="77"/>
        <v>76922571.88</v>
      </c>
      <c r="H148" s="16">
        <v>0.35</v>
      </c>
      <c r="I148" s="34">
        <f t="shared" si="78"/>
        <v>0.0008215962441</v>
      </c>
      <c r="J148" s="33">
        <f t="shared" si="79"/>
        <v>0.8215962441</v>
      </c>
      <c r="K148" s="23">
        <f t="shared" si="80"/>
        <v>93625758919</v>
      </c>
      <c r="L148" s="17">
        <f t="shared" si="81"/>
        <v>0.000981</v>
      </c>
      <c r="M148" s="34">
        <f t="shared" si="82"/>
        <v>168931826.1</v>
      </c>
      <c r="N148" s="35">
        <f t="shared" si="83"/>
        <v>53942657881439</v>
      </c>
      <c r="O148" s="25">
        <f t="shared" si="84"/>
        <v>7344578.055</v>
      </c>
      <c r="P148" s="36">
        <f t="shared" si="85"/>
        <v>7.344578055</v>
      </c>
      <c r="Q148" s="37">
        <f t="shared" si="86"/>
        <v>0.000005</v>
      </c>
      <c r="R148" s="34">
        <f t="shared" si="87"/>
        <v>0.0008215962441</v>
      </c>
      <c r="S148" s="33">
        <f t="shared" si="88"/>
        <v>0.01434493129</v>
      </c>
      <c r="T148" s="34">
        <f t="shared" si="89"/>
        <v>0.00001178574167</v>
      </c>
      <c r="U148" s="38">
        <f t="shared" si="90"/>
        <v>0.01178574167</v>
      </c>
      <c r="AA148" s="2"/>
    </row>
    <row r="149">
      <c r="A149" s="2"/>
      <c r="B149" s="2"/>
      <c r="C149" s="2"/>
      <c r="D149" s="5">
        <v>6.0</v>
      </c>
      <c r="E149" s="5">
        <v>1.80183</v>
      </c>
      <c r="F149" s="33">
        <f t="shared" si="76"/>
        <v>17.6759523</v>
      </c>
      <c r="G149" s="23">
        <f t="shared" si="77"/>
        <v>79121677.01</v>
      </c>
      <c r="H149" s="16">
        <v>0.36</v>
      </c>
      <c r="I149" s="34">
        <f t="shared" si="78"/>
        <v>0.0008450704225</v>
      </c>
      <c r="J149" s="33">
        <f t="shared" si="79"/>
        <v>0.8450704225</v>
      </c>
      <c r="K149" s="23">
        <f t="shared" si="80"/>
        <v>93627317789</v>
      </c>
      <c r="L149" s="17">
        <f t="shared" si="81"/>
        <v>0.000981</v>
      </c>
      <c r="M149" s="34">
        <f t="shared" si="82"/>
        <v>168931826.1</v>
      </c>
      <c r="N149" s="35">
        <f t="shared" si="83"/>
        <v>57071030717185</v>
      </c>
      <c r="O149" s="25">
        <f t="shared" si="84"/>
        <v>7554548.276</v>
      </c>
      <c r="P149" s="36">
        <f t="shared" si="85"/>
        <v>7.554548276</v>
      </c>
      <c r="Q149" s="37">
        <f t="shared" si="86"/>
        <v>0.000005</v>
      </c>
      <c r="R149" s="34">
        <f t="shared" si="87"/>
        <v>0.0008450704225</v>
      </c>
      <c r="S149" s="33">
        <f t="shared" si="88"/>
        <v>0.01394979052</v>
      </c>
      <c r="T149" s="34">
        <f t="shared" si="89"/>
        <v>0.00001178855537</v>
      </c>
      <c r="U149" s="38">
        <f t="shared" si="90"/>
        <v>0.01178855537</v>
      </c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40" t="s">
        <v>33</v>
      </c>
      <c r="J150" s="41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I151" s="1" t="s">
        <v>42</v>
      </c>
      <c r="J151" s="41"/>
      <c r="L151" s="2"/>
      <c r="M151" s="2"/>
      <c r="N151" s="2"/>
      <c r="O151" s="1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N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N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N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46"/>
      <c r="I155" s="2"/>
      <c r="J155" s="2"/>
      <c r="N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N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N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18" t="s">
        <v>40</v>
      </c>
      <c r="I161" s="67"/>
      <c r="J161" s="67"/>
      <c r="K161" s="4"/>
      <c r="L161" s="2"/>
      <c r="M161" s="2"/>
      <c r="N161" s="2"/>
      <c r="O161" s="2"/>
      <c r="P161" s="2"/>
      <c r="Q161" s="2"/>
      <c r="R161" s="2"/>
      <c r="S161" s="2"/>
      <c r="T161" s="2"/>
      <c r="U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55" t="s">
        <v>21</v>
      </c>
      <c r="I162" s="55" t="s">
        <v>22</v>
      </c>
      <c r="J162" s="55" t="s">
        <v>23</v>
      </c>
      <c r="K162" s="55" t="s">
        <v>24</v>
      </c>
      <c r="L162" s="28" t="s">
        <v>25</v>
      </c>
      <c r="M162" s="29" t="s">
        <v>26</v>
      </c>
      <c r="N162" s="4"/>
      <c r="O162" s="28" t="s">
        <v>27</v>
      </c>
      <c r="P162" s="28" t="s">
        <v>28</v>
      </c>
      <c r="Q162" s="30" t="s">
        <v>29</v>
      </c>
      <c r="R162" s="31" t="s">
        <v>30</v>
      </c>
      <c r="S162" s="4"/>
      <c r="T162" s="30" t="s">
        <v>31</v>
      </c>
      <c r="U162" s="32" t="s">
        <v>32</v>
      </c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16">
        <v>0.07</v>
      </c>
      <c r="I163" s="34">
        <f t="shared" ref="I163:I168" si="91">H163/$E$92</f>
        <v>0.0001643192488</v>
      </c>
      <c r="J163" s="33">
        <f t="shared" ref="J163:J168" si="92">I163*1000</f>
        <v>0.1643192488</v>
      </c>
      <c r="K163" s="23">
        <f t="shared" ref="K163:K168" si="93"> (F144/$F$141)/I163</f>
        <v>93778082831</v>
      </c>
      <c r="L163" s="17">
        <f t="shared" ref="L163:L168" si="94">$D$4*$G$2</f>
        <v>0.000981</v>
      </c>
      <c r="M163" s="34">
        <f t="shared" ref="M163:M168" si="95"> (1/$E$16^2)*(L163^2)</f>
        <v>168931826.1</v>
      </c>
      <c r="N163" s="35">
        <f t="shared" ref="N163:N168" si="96">(F144/($E$16^2))^2 * ($G$16^2)</f>
        <v>2164732963371</v>
      </c>
      <c r="O163" s="25">
        <f t="shared" ref="O163:O168" si="97"> SQRT(M163 + N163)</f>
        <v>1471360.559</v>
      </c>
      <c r="P163" s="36">
        <f t="shared" ref="P163:P168" si="98">O163/1000000</f>
        <v>1.471360559</v>
      </c>
      <c r="Q163" s="37">
        <f t="shared" ref="Q163:Q168" si="99">$D$2/1000</f>
        <v>0.000005</v>
      </c>
      <c r="R163" s="34">
        <f t="shared" ref="R163:R168" si="100">I163</f>
        <v>0.0001643192488</v>
      </c>
      <c r="S163" s="33">
        <f t="shared" ref="S163:S168" si="101">SQRT(((Q163*1000/H163)^2)+(($K$3*1000/$F$139)^2))</f>
        <v>0.07144043839</v>
      </c>
      <c r="T163" s="34">
        <f t="shared" ref="T163:T168" si="102">R163*S163</f>
        <v>0.00001173903917</v>
      </c>
      <c r="U163" s="38">
        <f t="shared" ref="U163:U168" si="103">T163*1000</f>
        <v>0.01173903917</v>
      </c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16">
        <v>0.14</v>
      </c>
      <c r="I164" s="34">
        <f t="shared" si="91"/>
        <v>0.0003286384977</v>
      </c>
      <c r="J164" s="33">
        <f t="shared" si="92"/>
        <v>0.3286384977</v>
      </c>
      <c r="K164" s="23">
        <f t="shared" si="93"/>
        <v>93655154762</v>
      </c>
      <c r="L164" s="17">
        <f t="shared" si="94"/>
        <v>0.000981</v>
      </c>
      <c r="M164" s="34">
        <f t="shared" si="95"/>
        <v>168931826.1</v>
      </c>
      <c r="N164" s="35">
        <f t="shared" si="96"/>
        <v>8636245782336</v>
      </c>
      <c r="O164" s="25">
        <f t="shared" si="97"/>
        <v>2938777.759</v>
      </c>
      <c r="P164" s="36">
        <f t="shared" si="98"/>
        <v>2.938777759</v>
      </c>
      <c r="Q164" s="37">
        <f t="shared" si="99"/>
        <v>0.000005</v>
      </c>
      <c r="R164" s="34">
        <f t="shared" si="100"/>
        <v>0.0003286384977</v>
      </c>
      <c r="S164" s="33">
        <f t="shared" si="101"/>
        <v>0.03573801373</v>
      </c>
      <c r="T164" s="34">
        <f t="shared" si="102"/>
        <v>0.00001174488714</v>
      </c>
      <c r="U164" s="38">
        <f t="shared" si="103"/>
        <v>0.01174488714</v>
      </c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16">
        <v>0.21</v>
      </c>
      <c r="I165" s="34">
        <f t="shared" si="91"/>
        <v>0.0004929577465</v>
      </c>
      <c r="J165" s="33">
        <f t="shared" si="92"/>
        <v>0.4929577465</v>
      </c>
      <c r="K165" s="23">
        <f t="shared" si="93"/>
        <v>93690786086</v>
      </c>
      <c r="L165" s="17">
        <f t="shared" si="94"/>
        <v>0.000981</v>
      </c>
      <c r="M165" s="34">
        <f t="shared" si="95"/>
        <v>168931826.1</v>
      </c>
      <c r="N165" s="35">
        <f t="shared" si="96"/>
        <v>19446341383175</v>
      </c>
      <c r="O165" s="25">
        <f t="shared" si="97"/>
        <v>4409819.76</v>
      </c>
      <c r="P165" s="36">
        <f t="shared" si="98"/>
        <v>4.40981976</v>
      </c>
      <c r="Q165" s="37">
        <f t="shared" si="99"/>
        <v>0.000005</v>
      </c>
      <c r="R165" s="34">
        <f t="shared" si="100"/>
        <v>0.0004929577465</v>
      </c>
      <c r="S165" s="33">
        <f t="shared" si="101"/>
        <v>0.02384510107</v>
      </c>
      <c r="T165" s="34">
        <f t="shared" si="102"/>
        <v>0.00001175462729</v>
      </c>
      <c r="U165" s="38">
        <f t="shared" si="103"/>
        <v>0.01175462729</v>
      </c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16">
        <v>0.28</v>
      </c>
      <c r="I166" s="34">
        <f t="shared" si="91"/>
        <v>0.0006572769953</v>
      </c>
      <c r="J166" s="33">
        <f t="shared" si="92"/>
        <v>0.6572769953</v>
      </c>
      <c r="K166" s="23">
        <f t="shared" si="93"/>
        <v>93658495198</v>
      </c>
      <c r="L166" s="17">
        <f t="shared" si="94"/>
        <v>0.000981</v>
      </c>
      <c r="M166" s="34">
        <f t="shared" si="95"/>
        <v>168931826.1</v>
      </c>
      <c r="N166" s="35">
        <f t="shared" si="96"/>
        <v>34547447433342</v>
      </c>
      <c r="O166" s="25">
        <f t="shared" si="97"/>
        <v>5877722.039</v>
      </c>
      <c r="P166" s="36">
        <f t="shared" si="98"/>
        <v>5.877722039</v>
      </c>
      <c r="Q166" s="37">
        <f t="shared" si="99"/>
        <v>0.000005</v>
      </c>
      <c r="R166" s="34">
        <f t="shared" si="100"/>
        <v>0.0006572769953</v>
      </c>
      <c r="S166" s="33">
        <f t="shared" si="101"/>
        <v>0.01790455171</v>
      </c>
      <c r="T166" s="34">
        <f t="shared" si="102"/>
        <v>0.00001176824995</v>
      </c>
      <c r="U166" s="38">
        <f t="shared" si="103"/>
        <v>0.01176824995</v>
      </c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16">
        <v>0.36</v>
      </c>
      <c r="I167" s="34">
        <f t="shared" si="91"/>
        <v>0.0008450704225</v>
      </c>
      <c r="J167" s="33">
        <f t="shared" si="92"/>
        <v>0.8450704225</v>
      </c>
      <c r="K167" s="23">
        <f t="shared" si="93"/>
        <v>91025043393</v>
      </c>
      <c r="L167" s="17">
        <f t="shared" si="94"/>
        <v>0.000981</v>
      </c>
      <c r="M167" s="34">
        <f t="shared" si="95"/>
        <v>168931826.1</v>
      </c>
      <c r="N167" s="35">
        <f t="shared" si="96"/>
        <v>53942657881439</v>
      </c>
      <c r="O167" s="25">
        <f t="shared" si="97"/>
        <v>7344578.055</v>
      </c>
      <c r="P167" s="36">
        <f t="shared" si="98"/>
        <v>7.344578055</v>
      </c>
      <c r="Q167" s="37">
        <f t="shared" si="99"/>
        <v>0.000005</v>
      </c>
      <c r="R167" s="34">
        <f t="shared" si="100"/>
        <v>0.0008450704225</v>
      </c>
      <c r="S167" s="33">
        <f t="shared" si="101"/>
        <v>0.01394979052</v>
      </c>
      <c r="T167" s="34">
        <f t="shared" si="102"/>
        <v>0.00001178855537</v>
      </c>
      <c r="U167" s="38">
        <f t="shared" si="103"/>
        <v>0.01178855537</v>
      </c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16">
        <v>0.37</v>
      </c>
      <c r="I168" s="34">
        <f t="shared" si="91"/>
        <v>0.0008685446009</v>
      </c>
      <c r="J168" s="33">
        <f t="shared" si="92"/>
        <v>0.8685446009</v>
      </c>
      <c r="K168" s="23">
        <f t="shared" si="93"/>
        <v>91096849741</v>
      </c>
      <c r="L168" s="17">
        <f t="shared" si="94"/>
        <v>0.000981</v>
      </c>
      <c r="M168" s="34">
        <f t="shared" si="95"/>
        <v>168931826.1</v>
      </c>
      <c r="N168" s="35">
        <f t="shared" si="96"/>
        <v>57071030717185</v>
      </c>
      <c r="O168" s="25">
        <f t="shared" si="97"/>
        <v>7554548.276</v>
      </c>
      <c r="P168" s="36">
        <f t="shared" si="98"/>
        <v>7.554548276</v>
      </c>
      <c r="Q168" s="37">
        <f t="shared" si="99"/>
        <v>0.000005</v>
      </c>
      <c r="R168" s="34">
        <f t="shared" si="100"/>
        <v>0.0008685446009</v>
      </c>
      <c r="S168" s="33">
        <f t="shared" si="101"/>
        <v>0.01357609916</v>
      </c>
      <c r="T168" s="34">
        <f t="shared" si="102"/>
        <v>0.00001179144763</v>
      </c>
      <c r="U168" s="38">
        <f t="shared" si="103"/>
        <v>0.01179144763</v>
      </c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N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N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N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N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N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N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55">
    <mergeCell ref="B2:C2"/>
    <mergeCell ref="I2:J2"/>
    <mergeCell ref="B3:C3"/>
    <mergeCell ref="F3:F4"/>
    <mergeCell ref="I3:J3"/>
    <mergeCell ref="B4:C4"/>
    <mergeCell ref="A6:A7"/>
    <mergeCell ref="B12:C12"/>
    <mergeCell ref="C14:D14"/>
    <mergeCell ref="C15:D15"/>
    <mergeCell ref="C16:D16"/>
    <mergeCell ref="L18:M18"/>
    <mergeCell ref="Q18:R18"/>
    <mergeCell ref="N26:O26"/>
    <mergeCell ref="A30:A31"/>
    <mergeCell ref="C37:D37"/>
    <mergeCell ref="C38:D38"/>
    <mergeCell ref="C39:D39"/>
    <mergeCell ref="L41:M41"/>
    <mergeCell ref="Q41:R41"/>
    <mergeCell ref="N49:O49"/>
    <mergeCell ref="A53:A54"/>
    <mergeCell ref="C61:D61"/>
    <mergeCell ref="C62:D62"/>
    <mergeCell ref="C63:D63"/>
    <mergeCell ref="L65:M65"/>
    <mergeCell ref="Q65:R65"/>
    <mergeCell ref="G72:H72"/>
    <mergeCell ref="G73:H73"/>
    <mergeCell ref="N73:O73"/>
    <mergeCell ref="A84:A85"/>
    <mergeCell ref="C92:D92"/>
    <mergeCell ref="C93:D93"/>
    <mergeCell ref="C94:D94"/>
    <mergeCell ref="G95:J95"/>
    <mergeCell ref="L96:M96"/>
    <mergeCell ref="Q96:R96"/>
    <mergeCell ref="N104:O104"/>
    <mergeCell ref="C105:G105"/>
    <mergeCell ref="A110:A111"/>
    <mergeCell ref="O117:P117"/>
    <mergeCell ref="T117:U117"/>
    <mergeCell ref="M143:N143"/>
    <mergeCell ref="R143:S143"/>
    <mergeCell ref="O151:P151"/>
    <mergeCell ref="H161:K161"/>
    <mergeCell ref="M162:N162"/>
    <mergeCell ref="R162:S162"/>
    <mergeCell ref="O170:P170"/>
    <mergeCell ref="J116:M116"/>
    <mergeCell ref="J125:N125"/>
    <mergeCell ref="D139:E139"/>
    <mergeCell ref="D140:E140"/>
    <mergeCell ref="D141:E141"/>
    <mergeCell ref="H142:K14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7" t="s">
        <v>43</v>
      </c>
      <c r="B1" s="27" t="s">
        <v>44</v>
      </c>
      <c r="C1" s="26"/>
      <c r="D1" s="24" t="s">
        <v>45</v>
      </c>
      <c r="E1" s="24" t="s">
        <v>46</v>
      </c>
      <c r="G1" s="24" t="s">
        <v>47</v>
      </c>
      <c r="H1" s="24" t="s">
        <v>48</v>
      </c>
      <c r="J1" s="24" t="s">
        <v>49</v>
      </c>
      <c r="K1" s="24" t="s">
        <v>50</v>
      </c>
      <c r="M1" s="68" t="s">
        <v>51</v>
      </c>
      <c r="N1" s="68" t="s">
        <v>52</v>
      </c>
      <c r="P1" s="68" t="s">
        <v>53</v>
      </c>
      <c r="Q1" s="68" t="s">
        <v>54</v>
      </c>
      <c r="S1" s="68" t="s">
        <v>55</v>
      </c>
      <c r="T1" s="68" t="s">
        <v>56</v>
      </c>
    </row>
    <row r="2">
      <c r="A2" s="69">
        <f>45610397.6939368/1000000</f>
        <v>45.61039769</v>
      </c>
      <c r="B2" s="38">
        <v>0.28368794326241137</v>
      </c>
      <c r="C2" s="70"/>
      <c r="D2" s="71">
        <f>45145750.12129/1000000</f>
        <v>45.14575012</v>
      </c>
      <c r="E2" s="71">
        <v>0.3073286052009456</v>
      </c>
      <c r="F2" s="70"/>
      <c r="G2" s="71">
        <v>46.10481573760225</v>
      </c>
      <c r="H2" s="71">
        <v>0.2582159624413145</v>
      </c>
      <c r="I2" s="70"/>
      <c r="J2" s="71">
        <v>46.10481573760225</v>
      </c>
      <c r="K2" s="71">
        <v>0.2582159624413145</v>
      </c>
      <c r="L2" s="70"/>
      <c r="M2" s="70">
        <v>15.60398440152128</v>
      </c>
      <c r="N2" s="70">
        <v>0.14184397163120568</v>
      </c>
      <c r="O2" s="70"/>
      <c r="P2" s="72">
        <v>15.40954412714294</v>
      </c>
      <c r="Q2" s="70">
        <v>0.11737089201877936</v>
      </c>
      <c r="R2" s="70"/>
      <c r="S2" s="70">
        <v>15.40954412714294</v>
      </c>
      <c r="T2" s="70">
        <v>0.1643192488262911</v>
      </c>
    </row>
    <row r="3">
      <c r="A3" s="38">
        <f>91101219.5133768/1000000</f>
        <v>91.10121951</v>
      </c>
      <c r="B3" s="38">
        <v>0.5319148936170213</v>
      </c>
      <c r="C3" s="70"/>
      <c r="D3" s="71">
        <f>90161626.9689962/1000000</f>
        <v>90.16162697</v>
      </c>
      <c r="E3" s="71">
        <v>0.5437352245862884</v>
      </c>
      <c r="F3" s="70"/>
      <c r="G3" s="71">
        <v>92.08875939473431</v>
      </c>
      <c r="H3" s="71">
        <v>0.516431924882629</v>
      </c>
      <c r="I3" s="70"/>
      <c r="J3" s="71">
        <v>92.08875939473431</v>
      </c>
      <c r="K3" s="71">
        <v>0.516431924882629</v>
      </c>
      <c r="L3" s="70"/>
      <c r="M3" s="70">
        <v>31.16706014679783</v>
      </c>
      <c r="N3" s="70">
        <v>0.37825059101654845</v>
      </c>
      <c r="O3" s="70"/>
      <c r="P3" s="72">
        <v>30.77868935824982</v>
      </c>
      <c r="Q3" s="70">
        <v>0.3051643192488263</v>
      </c>
      <c r="R3" s="70"/>
      <c r="S3" s="70">
        <v>30.77868935824982</v>
      </c>
      <c r="T3" s="70">
        <v>0.3286384976525822</v>
      </c>
    </row>
    <row r="4">
      <c r="A4" s="38">
        <f>136703818.780716/1000000</f>
        <v>136.7038188</v>
      </c>
      <c r="B4" s="38">
        <v>0.9101654846335697</v>
      </c>
      <c r="C4" s="70"/>
      <c r="D4" s="71">
        <v>135.29837597231497</v>
      </c>
      <c r="E4" s="71">
        <v>0.7919621749408984</v>
      </c>
      <c r="F4" s="70"/>
      <c r="G4" s="71">
        <v>138.18569217056674</v>
      </c>
      <c r="H4" s="71">
        <v>0.7511737089201878</v>
      </c>
      <c r="I4" s="70"/>
      <c r="J4" s="71">
        <v>138.18569217056674</v>
      </c>
      <c r="K4" s="71">
        <v>0.7511737089201878</v>
      </c>
      <c r="L4" s="70"/>
      <c r="M4" s="70">
        <v>46.768376592477054</v>
      </c>
      <c r="N4" s="70">
        <v>0.5673758865248227</v>
      </c>
      <c r="O4" s="70"/>
      <c r="P4" s="72">
        <v>46.18559877478171</v>
      </c>
      <c r="Q4" s="70">
        <v>0.46948356807511743</v>
      </c>
      <c r="R4" s="70"/>
      <c r="S4" s="70">
        <v>46.18559877478171</v>
      </c>
      <c r="T4" s="70">
        <v>0.4929577464788732</v>
      </c>
    </row>
    <row r="5">
      <c r="A5" s="38">
        <f>182208937.715585/1000000</f>
        <v>182.2089377</v>
      </c>
      <c r="B5" s="38">
        <v>1.0874704491725768</v>
      </c>
      <c r="C5" s="70"/>
      <c r="D5" s="71">
        <v>180.3348268039553</v>
      </c>
      <c r="E5" s="71">
        <v>1.0874704491725768</v>
      </c>
      <c r="F5" s="70"/>
      <c r="G5" s="71">
        <v>184.1840879242768</v>
      </c>
      <c r="H5" s="71">
        <v>1.1267605633802817</v>
      </c>
      <c r="I5" s="70"/>
      <c r="J5" s="71">
        <v>184.1840879242768</v>
      </c>
      <c r="K5" s="71">
        <v>1.032863849765258</v>
      </c>
      <c r="L5" s="70"/>
      <c r="M5" s="70">
        <v>62.3363435901307</v>
      </c>
      <c r="N5" s="70">
        <v>0.7565011820330969</v>
      </c>
      <c r="O5" s="70"/>
      <c r="P5" s="72">
        <v>61.55957430867553</v>
      </c>
      <c r="Q5" s="70">
        <v>0.6572769953051644</v>
      </c>
      <c r="R5" s="70"/>
      <c r="S5" s="70">
        <v>61.55957430867553</v>
      </c>
      <c r="T5" s="70">
        <v>0.6572769953051644</v>
      </c>
    </row>
    <row r="6">
      <c r="A6" s="38">
        <f>227681563.206297/1000000</f>
        <v>227.6815632</v>
      </c>
      <c r="B6" s="38">
        <v>1.359338061465721</v>
      </c>
      <c r="C6" s="70"/>
      <c r="D6" s="71">
        <v>225.34427428168215</v>
      </c>
      <c r="E6" s="71">
        <v>1.4184397163120566</v>
      </c>
      <c r="F6" s="70"/>
      <c r="G6" s="71">
        <v>230.14963800394597</v>
      </c>
      <c r="H6" s="71">
        <v>1.384976525821596</v>
      </c>
      <c r="I6" s="70"/>
      <c r="J6" s="71">
        <v>230.14963800394597</v>
      </c>
      <c r="K6" s="71">
        <v>1.291079812206573</v>
      </c>
      <c r="L6" s="70"/>
      <c r="M6" s="70">
        <v>77.89319410510915</v>
      </c>
      <c r="N6" s="70">
        <v>0.9456264775413712</v>
      </c>
      <c r="O6" s="70"/>
      <c r="P6" s="72">
        <v>76.92257188168996</v>
      </c>
      <c r="Q6" s="70">
        <v>0.8215962441314554</v>
      </c>
      <c r="R6" s="70"/>
      <c r="S6" s="70">
        <v>76.92257188168996</v>
      </c>
      <c r="T6" s="70">
        <v>0.8450704225352113</v>
      </c>
    </row>
    <row r="7">
      <c r="A7" s="38">
        <f>231084276.678391/1000000</f>
        <v>231.0842767</v>
      </c>
      <c r="B7" s="38">
        <v>1.3947990543735223</v>
      </c>
      <c r="C7" s="70"/>
      <c r="D7" s="71">
        <v>228.7222652688544</v>
      </c>
      <c r="E7" s="71">
        <v>1.5839243498817968</v>
      </c>
      <c r="F7" s="70"/>
      <c r="G7" s="71">
        <v>236.7292834278008</v>
      </c>
      <c r="H7" s="71">
        <v>1.431924882629108</v>
      </c>
      <c r="I7" s="70"/>
      <c r="J7" s="71">
        <v>236.7292834278008</v>
      </c>
      <c r="K7" s="71">
        <v>1.3145539906103287</v>
      </c>
      <c r="L7" s="70"/>
      <c r="M7" s="70">
        <v>79.05731217085584</v>
      </c>
      <c r="N7" s="70">
        <v>0.9574468085106383</v>
      </c>
      <c r="O7" s="70"/>
      <c r="P7" s="72">
        <v>79.12167700504378</v>
      </c>
      <c r="Q7" s="70">
        <v>0.8450704225352113</v>
      </c>
      <c r="R7" s="70"/>
      <c r="S7" s="70">
        <v>79.12167700504378</v>
      </c>
      <c r="T7" s="70">
        <v>0.8685446009389671</v>
      </c>
    </row>
  </sheetData>
  <drawing r:id="rId1"/>
</worksheet>
</file>