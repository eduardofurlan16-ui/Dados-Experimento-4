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<sst xmlns="http://schemas.openxmlformats.org/spreadsheetml/2006/main" count="187" uniqueCount="56">
  <si>
    <t>incerteza base relógio (mm)</t>
  </si>
  <si>
    <t>g (m/s)</t>
  </si>
  <si>
    <t>incerteza base régua (mm)</t>
  </si>
  <si>
    <t>incerteza base balança (g)</t>
  </si>
  <si>
    <t xml:space="preserve">incerteza deformação unitária </t>
  </si>
  <si>
    <t>incerteza base régua (m)</t>
  </si>
  <si>
    <t>incerteza base balança (kg)</t>
  </si>
  <si>
    <t>Experimento 03/11</t>
  </si>
  <si>
    <t>Medição</t>
  </si>
  <si>
    <t>Diâmetro (mm)</t>
  </si>
  <si>
    <t>Média (mm)</t>
  </si>
  <si>
    <t>Desv. Pad (mm)</t>
  </si>
  <si>
    <t>Incerteza (mm)</t>
  </si>
  <si>
    <t>L0 (mm)</t>
  </si>
  <si>
    <t>Área seção transversal (m^2)</t>
  </si>
  <si>
    <t>Ensaio</t>
  </si>
  <si>
    <t>Massa (Kg)</t>
  </si>
  <si>
    <t>Força aplicada(N)</t>
  </si>
  <si>
    <t>Força / Seção Transversal (N/m^2)</t>
  </si>
  <si>
    <t>Deformação ΔL (mm)</t>
  </si>
  <si>
    <t>Deformação unitária (ΔL/L0)</t>
  </si>
  <si>
    <t>Deformação unitária (10^-3)</t>
  </si>
  <si>
    <t>Módulo de Young (Pa)</t>
  </si>
  <si>
    <t>σF</t>
  </si>
  <si>
    <t>Partes do Cálculo σF/s</t>
  </si>
  <si>
    <t>σF/s (Pa)</t>
  </si>
  <si>
    <t>σF/s (MPa)</t>
  </si>
  <si>
    <t>σΔL</t>
  </si>
  <si>
    <t>Partes do Cálculo σ(ΔL/L0)</t>
  </si>
  <si>
    <t>σ(ΔL/L0)</t>
  </si>
  <si>
    <t>σ(ΔL/L0) (10^-3)</t>
  </si>
  <si>
    <t>Comparar com o teórico</t>
  </si>
  <si>
    <t>talvez fio de aço</t>
  </si>
  <si>
    <t>talvez fio de cobre</t>
  </si>
  <si>
    <t>Experimento 05/11</t>
  </si>
  <si>
    <t>Experimento 10/11</t>
  </si>
  <si>
    <t>Rodada de experimento 1</t>
  </si>
  <si>
    <t>ΔL após o experimento, já sem os pesos (deformação plástica) = 0,05mm</t>
  </si>
  <si>
    <t>Rodada de experimento 2</t>
  </si>
  <si>
    <t>ΔL após o experimento, já sem os pesos (deformação plástica) = 0,00mm</t>
  </si>
  <si>
    <t xml:space="preserve"> Rod</t>
  </si>
  <si>
    <t>cobre</t>
  </si>
  <si>
    <t>coluna1aco_y</t>
  </si>
  <si>
    <t>coluna1aco_x</t>
  </si>
  <si>
    <t>coluna2aco_y</t>
  </si>
  <si>
    <t>coluna2aco_x</t>
  </si>
  <si>
    <t>coluna3aco_y</t>
  </si>
  <si>
    <t>coluna3aco_x</t>
  </si>
  <si>
    <t>coluna4aco_y</t>
  </si>
  <si>
    <t>coluna4aco_x</t>
  </si>
  <si>
    <t>coluna1cobre_y</t>
  </si>
  <si>
    <t>coluna1cobre_x</t>
  </si>
  <si>
    <t>coluna2cobre_y</t>
  </si>
  <si>
    <t>coluna2cobre_x</t>
  </si>
  <si>
    <t>coluna3cobre_y</t>
  </si>
  <si>
    <t>coluna3cobre_x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</si>
</sst>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00000"/>
    <numFmt numFmtId="166" formatCode="0.0000"/>
    <numFmt numFmtId="167" formatCode="0.0000000"/>
    <numFmt numFmtId="168" formatCode="0.00000"/>
    <numFmt numFmtId="169" formatCode="#,##0.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9FBFD"/>
        <bgColor rgb="FFF9FBFD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E1E3E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3" fontId="1" numFmtId="0" xfId="0" applyAlignment="1" applyFill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 vertical="center"/>
    </xf>
    <xf borderId="4" fillId="0" fontId="1" numFmtId="0" xfId="0" applyBorder="1" applyFont="1"/>
    <xf borderId="1" fillId="4" fontId="1" numFmtId="0" xfId="0" applyAlignment="1" applyBorder="1" applyFont="1">
      <alignment horizontal="left" readingOrder="0" vertical="center"/>
    </xf>
    <xf borderId="1" fillId="4" fontId="1" numFmtId="0" xfId="0" applyAlignment="1" applyBorder="1" applyFont="1">
      <alignment horizontal="left" readingOrder="0"/>
    </xf>
    <xf borderId="3" fillId="0" fontId="1" numFmtId="11" xfId="0" applyAlignment="1" applyBorder="1" applyFont="1" applyNumberFormat="1">
      <alignment horizontal="center"/>
    </xf>
    <xf borderId="0" fillId="0" fontId="1" numFmtId="11" xfId="0" applyFont="1" applyNumberFormat="1"/>
    <xf borderId="0" fillId="0" fontId="1" numFmtId="0" xfId="0" applyAlignment="1" applyFont="1">
      <alignment horizontal="center" readingOrder="0" vertical="center"/>
    </xf>
    <xf borderId="3" fillId="4" fontId="1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readingOrder="0" shrinkToFit="0" vertical="center" wrapText="1"/>
    </xf>
    <xf borderId="3" fillId="0" fontId="1" numFmtId="166" xfId="0" applyAlignment="1" applyBorder="1" applyFont="1" applyNumberFormat="1">
      <alignment horizontal="center" vertical="center"/>
    </xf>
    <xf borderId="3" fillId="0" fontId="1" numFmtId="11" xfId="0" applyAlignment="1" applyBorder="1" applyFont="1" applyNumberFormat="1">
      <alignment horizontal="center" vertical="center"/>
    </xf>
    <xf borderId="3" fillId="0" fontId="1" numFmtId="4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0" fillId="0" fontId="1" numFmtId="167" xfId="0" applyAlignment="1" applyFont="1" applyNumberFormat="1">
      <alignment horizontal="center" vertical="center"/>
    </xf>
    <xf borderId="3" fillId="9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/>
    </xf>
    <xf borderId="1" fillId="9" fontId="1" numFmtId="0" xfId="0" applyAlignment="1" applyBorder="1" applyFont="1">
      <alignment horizontal="left" readingOrder="0" vertical="center"/>
    </xf>
    <xf borderId="5" fillId="10" fontId="3" numFmtId="0" xfId="0" applyAlignment="1" applyBorder="1" applyFill="1" applyFont="1">
      <alignment vertical="top"/>
    </xf>
    <xf borderId="5" fillId="10" fontId="3" numFmtId="0" xfId="0" applyAlignment="1" applyBorder="1" applyFont="1">
      <alignment vertical="bottom"/>
    </xf>
    <xf borderId="1" fillId="9" fontId="1" numFmtId="0" xfId="0" applyAlignment="1" applyBorder="1" applyFont="1">
      <alignment horizontal="left" readingOrder="0"/>
    </xf>
    <xf borderId="3" fillId="9" fontId="1" numFmtId="0" xfId="0" applyAlignment="1" applyBorder="1" applyFont="1">
      <alignment horizontal="center" readingOrder="0" shrinkToFit="0" vertical="center" wrapText="1"/>
    </xf>
    <xf borderId="3" fillId="0" fontId="1" numFmtId="166" xfId="0" applyBorder="1" applyFont="1" applyNumberFormat="1"/>
    <xf borderId="6" fillId="0" fontId="1" numFmtId="11" xfId="0" applyAlignment="1" applyBorder="1" applyFont="1" applyNumberFormat="1">
      <alignment horizontal="center"/>
    </xf>
    <xf borderId="7" fillId="0" fontId="1" numFmtId="168" xfId="0" applyAlignment="1" applyBorder="1" applyFont="1" applyNumberFormat="1">
      <alignment horizontal="center"/>
    </xf>
    <xf borderId="3" fillId="11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left" readingOrder="0" vertical="center"/>
    </xf>
    <xf borderId="1" fillId="11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3" fillId="11" fontId="1" numFmtId="0" xfId="0" applyAlignment="1" applyBorder="1" applyFont="1">
      <alignment horizontal="center" readingOrder="0" shrinkToFit="0" vertical="center" wrapText="1"/>
    </xf>
    <xf borderId="3" fillId="0" fontId="1" numFmtId="16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horizontal="center" vertical="center"/>
    </xf>
    <xf borderId="3" fillId="0" fontId="1" numFmtId="0" xfId="0" applyAlignment="1" applyBorder="1" applyFont="1">
      <alignment readingOrder="0"/>
    </xf>
    <xf borderId="3" fillId="0" fontId="1" numFmtId="4" xfId="0" applyAlignment="1" applyBorder="1" applyFont="1" applyNumberFormat="1">
      <alignment horizontal="center" readingOrder="0" vertical="center"/>
    </xf>
    <xf borderId="0" fillId="0" fontId="1" numFmtId="4" xfId="0" applyFont="1" applyNumberFormat="1"/>
    <xf borderId="3" fillId="0" fontId="1" numFmtId="4" xfId="0" applyBorder="1" applyFont="1" applyNumberFormat="1"/>
    <xf borderId="3" fillId="0" fontId="1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BF9000"/>
              </a:solidFill>
              <a:ln cmpd="sng">
                <a:solidFill>
                  <a:srgbClr val="BF9000"/>
                </a:solidFill>
              </a:ln>
            </c:spPr>
          </c:marker>
          <c:trendline>
            <c:name/>
            <c:spPr>
              <a:ln w="19050">
                <a:solidFill>
                  <a:srgbClr val="BF9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'Página1'!$H$41:$H$47</c:f>
            </c:numRef>
          </c:xVal>
          <c:yVal>
            <c:numRef>
              <c:f>'Página1'!$F$41:$F$47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49399"/>
        <c:axId val="1938596628"/>
      </c:scatterChart>
      <c:valAx>
        <c:axId val="19465493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596628"/>
      </c:valAx>
      <c:valAx>
        <c:axId val="1938596628"/>
        <c:scaling>
          <c:orientation val="minMax"/>
          <c:max val="8.5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549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8761D"/>
              </a:solidFill>
              <a:ln cmpd="sng">
                <a:solidFill>
                  <a:srgbClr val="38761D"/>
                </a:solidFill>
              </a:ln>
            </c:spPr>
          </c:marker>
          <c:trendline>
            <c:name/>
            <c:spPr>
              <a:ln w="19050">
                <a:solidFill>
                  <a:srgbClr val="38761D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'Página1'!$H$65:$H$71</c:f>
            </c:numRef>
          </c:xVal>
          <c:yVal>
            <c:numRef>
              <c:f>'Página1'!$F$65:$F$71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77337"/>
        <c:axId val="1853130668"/>
      </c:scatterChart>
      <c:valAx>
        <c:axId val="1005777337"/>
        <c:scaling>
          <c:orientation val="minMax"/>
          <c:max val="0.001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130668"/>
      </c:valAx>
      <c:valAx>
        <c:axId val="1853130668"/>
        <c:scaling>
          <c:orientation val="minMax"/>
          <c:max val="3.0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777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19050">
                <a:solidFill>
                  <a:srgbClr val="00FFFF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'Página1'!$H$18:$H$24</c:f>
            </c:numRef>
          </c:xVal>
          <c:yVal>
            <c:numRef>
              <c:f>'Página1'!$F$18:$F$24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17251"/>
        <c:axId val="918238239"/>
      </c:scatterChart>
      <c:valAx>
        <c:axId val="1760317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 </a:t>
                </a:r>
              </a:p>
            </c:rich>
          </c:tx>
          <c:layout>
            <c:manualLayout>
              <c:xMode val="edge"/>
              <c:yMode val="edge"/>
              <c:x val="0.18042187499999998"/>
              <c:y val="0.90148247978436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238239"/>
      </c:valAx>
      <c:valAx>
        <c:axId val="918238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317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37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647700</xdr:colOff>
      <xdr:row>72</xdr:row>
      <xdr:rowOff>9525</xdr:rowOff>
    </xdr:from>
    <xdr:ext cx="5819775" cy="3600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257175</xdr:colOff>
      <xdr:row>0</xdr:row>
      <xdr:rowOff>0</xdr:rowOff>
    </xdr:from>
    <xdr:ext cx="5000625" cy="30956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2.63"/>
    <col customWidth="1" min="11" max="11" width="2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>
        <f>0.01/2</f>
        <v>0.005</v>
      </c>
      <c r="E2" s="1"/>
      <c r="F2" s="5" t="s">
        <v>1</v>
      </c>
      <c r="G2" s="4">
        <v>9.81</v>
      </c>
      <c r="H2" s="1"/>
      <c r="I2" s="2" t="s">
        <v>2</v>
      </c>
      <c r="J2" s="3"/>
      <c r="K2" s="4">
        <v>0.5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3</v>
      </c>
      <c r="C3" s="3"/>
      <c r="D3" s="4">
        <f> 0.1</f>
        <v>0.1</v>
      </c>
      <c r="E3" s="1"/>
      <c r="F3" s="6" t="s">
        <v>4</v>
      </c>
      <c r="G3" s="1"/>
      <c r="H3" s="1"/>
      <c r="I3" s="2" t="s">
        <v>5</v>
      </c>
      <c r="J3" s="3"/>
      <c r="K3" s="1">
        <f>K2/1000</f>
        <v>0.0005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6</v>
      </c>
      <c r="C4" s="3"/>
      <c r="D4" s="7">
        <f>D3/1000</f>
        <v>0.0001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7</v>
      </c>
      <c r="B6" s="1"/>
      <c r="C6" s="9" t="s">
        <v>8</v>
      </c>
      <c r="D6" s="10" t="s">
        <v>9</v>
      </c>
      <c r="E6" s="9" t="s">
        <v>10</v>
      </c>
      <c r="F6" s="9" t="s">
        <v>11</v>
      </c>
      <c r="G6" s="10" t="s">
        <v>12</v>
      </c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1"/>
      <c r="C7" s="12">
        <v>1.0</v>
      </c>
      <c r="D7" s="13">
        <v>0.3</v>
      </c>
      <c r="E7" s="14">
        <f>AVERAGE(D7:D9)</f>
        <v>0.31</v>
      </c>
      <c r="F7" s="15">
        <f> SQRT((1/6) * ((D7-E7)^2 + (D8-E7)^2 + (D9-E7)^2))</f>
        <v>0.005773502692</v>
      </c>
      <c r="G7" s="16">
        <f> SQRT((F7)^2 + ($D$2)^2)</f>
        <v>0.007637626158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2">
        <v>2.0</v>
      </c>
      <c r="D8" s="17">
        <v>0.31</v>
      </c>
      <c r="E8" s="14">
        <f>E7/1000</f>
        <v>0.00031</v>
      </c>
      <c r="F8" s="1"/>
      <c r="G8" s="18">
        <f>G7/1000</f>
        <v>0.000007637626158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2">
        <v>3.0</v>
      </c>
      <c r="D9" s="17">
        <v>0.32</v>
      </c>
      <c r="E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0" t="s">
        <v>13</v>
      </c>
      <c r="D14" s="3"/>
      <c r="E14" s="4">
        <v>423.0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20" t="s">
        <v>9</v>
      </c>
      <c r="D15" s="3"/>
      <c r="E15" s="16">
        <f>E7</f>
        <v>0.31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1" t="s">
        <v>14</v>
      </c>
      <c r="D16" s="3"/>
      <c r="E16" s="22">
        <f> (PI() * ((E15/2000)^2))</f>
        <v>0.0000000754767635</v>
      </c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I17" s="1"/>
      <c r="J17" s="1"/>
      <c r="K17" s="1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9" t="s">
        <v>15</v>
      </c>
      <c r="D18" s="9" t="s">
        <v>16</v>
      </c>
      <c r="E18" s="25" t="s">
        <v>17</v>
      </c>
      <c r="F18" s="25" t="s">
        <v>18</v>
      </c>
      <c r="G18" s="25" t="s">
        <v>19</v>
      </c>
      <c r="H18" s="25" t="s">
        <v>20</v>
      </c>
      <c r="I18" s="25" t="s">
        <v>21</v>
      </c>
      <c r="J18" s="25" t="s">
        <v>22</v>
      </c>
      <c r="K18" s="26" t="s">
        <v>23</v>
      </c>
      <c r="L18" s="27" t="s">
        <v>24</v>
      </c>
      <c r="M18" s="3"/>
      <c r="N18" s="26" t="s">
        <v>25</v>
      </c>
      <c r="O18" s="26" t="s">
        <v>26</v>
      </c>
      <c r="P18" s="28" t="s">
        <v>27</v>
      </c>
      <c r="Q18" s="29" t="s">
        <v>28</v>
      </c>
      <c r="R18" s="3"/>
      <c r="S18" s="28" t="s">
        <v>29</v>
      </c>
      <c r="T18" s="30" t="s">
        <v>30</v>
      </c>
      <c r="U18" s="1"/>
      <c r="V18" s="1"/>
      <c r="W18" s="1"/>
      <c r="X18" s="1"/>
      <c r="Y18" s="1"/>
      <c r="Z18" s="1"/>
    </row>
    <row r="19">
      <c r="A19" s="1"/>
      <c r="B19" s="1"/>
      <c r="C19" s="4">
        <v>1.0</v>
      </c>
      <c r="D19" s="4">
        <v>0.35092</v>
      </c>
      <c r="E19" s="31">
        <f t="shared" ref="E19:E24" si="1">D19*$G$2</f>
        <v>3.4425252</v>
      </c>
      <c r="F19" s="22">
        <f t="shared" ref="F19:F24" si="2">(E19/$E$16)</f>
        <v>45610397.69</v>
      </c>
      <c r="G19" s="15">
        <v>0.12</v>
      </c>
      <c r="H19" s="32">
        <f t="shared" ref="H19:H24" si="3">G19/$E$14</f>
        <v>0.0002836879433</v>
      </c>
      <c r="I19" s="31">
        <f t="shared" ref="I19:I24" si="4">H19*1000</f>
        <v>0.2836879433</v>
      </c>
      <c r="J19" s="22">
        <f t="shared" ref="J19:J24" si="5"> (E19/$E$16)/H19</f>
        <v>160776651871</v>
      </c>
      <c r="K19" s="16">
        <f t="shared" ref="K19:K24" si="6">$D$4*$G$2</f>
        <v>0.000981</v>
      </c>
      <c r="L19" s="32">
        <f t="shared" ref="L19:L24" si="7">PI()*2*$E$16*$G$8/($E$8/2)</f>
        <v>0.00000002336790811</v>
      </c>
      <c r="M19" s="31">
        <f t="shared" ref="M19:M24" si="8">SQRT(((K19/E19)^2)+((L19/$E$16)^2))</f>
        <v>0.3096041341</v>
      </c>
      <c r="N19" s="32">
        <f t="shared" ref="N19:N24" si="9">E19*M19/$E$16</f>
        <v>14121167.68</v>
      </c>
      <c r="O19" s="33">
        <f t="shared" ref="O19:O24" si="10">N19/1000000</f>
        <v>14.12116768</v>
      </c>
      <c r="P19" s="34">
        <f t="shared" ref="P19:P24" si="11">$D$2/1000</f>
        <v>0.000005</v>
      </c>
      <c r="Q19" s="32">
        <f t="shared" ref="Q19:Q24" si="12">H19</f>
        <v>0.0002836879433</v>
      </c>
      <c r="R19" s="31">
        <f t="shared" ref="R19:R24" si="13">SQRT(((P19*1000/G19)^2)+(($K$3*1000/$E$14)^2))</f>
        <v>0.04168342972</v>
      </c>
      <c r="S19" s="32">
        <f t="shared" ref="S19:S24" si="14">Q19*R19</f>
        <v>0.00001182508645</v>
      </c>
      <c r="T19" s="33">
        <f t="shared" ref="T19:T24" si="15">S19*1000</f>
        <v>0.01182508645</v>
      </c>
      <c r="U19" s="1"/>
      <c r="V19" s="1"/>
      <c r="W19" s="1"/>
      <c r="X19" s="1"/>
      <c r="Y19" s="1"/>
      <c r="Z19" s="1"/>
    </row>
    <row r="20">
      <c r="A20" s="1"/>
      <c r="B20" s="1"/>
      <c r="C20" s="4">
        <v>2.0</v>
      </c>
      <c r="D20" s="4">
        <v>0.70092</v>
      </c>
      <c r="E20" s="31">
        <f t="shared" si="1"/>
        <v>6.8760252</v>
      </c>
      <c r="F20" s="22">
        <f t="shared" si="2"/>
        <v>91101219.51</v>
      </c>
      <c r="G20" s="15">
        <v>0.225</v>
      </c>
      <c r="H20" s="32">
        <f t="shared" si="3"/>
        <v>0.0005319148936</v>
      </c>
      <c r="I20" s="31">
        <f t="shared" si="4"/>
        <v>0.5319148936</v>
      </c>
      <c r="J20" s="22">
        <f t="shared" si="5"/>
        <v>171270292685</v>
      </c>
      <c r="K20" s="16">
        <f t="shared" si="6"/>
        <v>0.000981</v>
      </c>
      <c r="L20" s="32">
        <f t="shared" si="7"/>
        <v>0.00000002336790811</v>
      </c>
      <c r="M20" s="31">
        <f t="shared" si="8"/>
        <v>0.3096040358</v>
      </c>
      <c r="N20" s="32">
        <f t="shared" si="9"/>
        <v>28205305.23</v>
      </c>
      <c r="O20" s="33">
        <f t="shared" si="10"/>
        <v>28.20530523</v>
      </c>
      <c r="P20" s="34">
        <f t="shared" si="11"/>
        <v>0.000005</v>
      </c>
      <c r="Q20" s="32">
        <f t="shared" si="12"/>
        <v>0.0005319148936</v>
      </c>
      <c r="R20" s="31">
        <f t="shared" si="13"/>
        <v>0.02225363707</v>
      </c>
      <c r="S20" s="32">
        <f t="shared" si="14"/>
        <v>0.00001183704099</v>
      </c>
      <c r="T20" s="33">
        <f t="shared" si="15"/>
        <v>0.01183704099</v>
      </c>
      <c r="U20" s="1"/>
      <c r="V20" s="1"/>
      <c r="W20" s="1"/>
      <c r="X20" s="1"/>
      <c r="Y20" s="1"/>
      <c r="Z20" s="1"/>
    </row>
    <row r="21">
      <c r="A21" s="1"/>
      <c r="B21" s="1"/>
      <c r="C21" s="4">
        <v>3.0</v>
      </c>
      <c r="D21" s="4">
        <v>1.05178</v>
      </c>
      <c r="E21" s="31">
        <f t="shared" si="1"/>
        <v>10.3179618</v>
      </c>
      <c r="F21" s="22">
        <f t="shared" si="2"/>
        <v>136703818.8</v>
      </c>
      <c r="G21" s="15">
        <v>0.385</v>
      </c>
      <c r="H21" s="32">
        <f t="shared" si="3"/>
        <v>0.0009101654846</v>
      </c>
      <c r="I21" s="31">
        <f t="shared" si="4"/>
        <v>0.9101654846</v>
      </c>
      <c r="J21" s="22">
        <f t="shared" si="5"/>
        <v>150196663232</v>
      </c>
      <c r="K21" s="16">
        <f t="shared" si="6"/>
        <v>0.000981</v>
      </c>
      <c r="L21" s="32">
        <f t="shared" si="7"/>
        <v>0.00000002336790811</v>
      </c>
      <c r="M21" s="31">
        <f t="shared" si="8"/>
        <v>0.3096040176</v>
      </c>
      <c r="N21" s="32">
        <f t="shared" si="9"/>
        <v>42324051.51</v>
      </c>
      <c r="O21" s="33">
        <f t="shared" si="10"/>
        <v>42.32405151</v>
      </c>
      <c r="P21" s="34">
        <f t="shared" si="11"/>
        <v>0.000005</v>
      </c>
      <c r="Q21" s="32">
        <f t="shared" si="12"/>
        <v>0.0009101654846</v>
      </c>
      <c r="R21" s="31">
        <f t="shared" si="13"/>
        <v>0.01304069433</v>
      </c>
      <c r="S21" s="32">
        <f t="shared" si="14"/>
        <v>0.00001186918987</v>
      </c>
      <c r="T21" s="33">
        <f t="shared" si="15"/>
        <v>0.01186918987</v>
      </c>
      <c r="U21" s="1"/>
      <c r="V21" s="1"/>
      <c r="W21" s="1"/>
      <c r="X21" s="1"/>
      <c r="Y21" s="1"/>
      <c r="Z21" s="1"/>
    </row>
    <row r="22">
      <c r="A22" s="1"/>
      <c r="B22" s="1"/>
      <c r="C22" s="4">
        <v>4.0</v>
      </c>
      <c r="D22" s="4">
        <v>1.40189</v>
      </c>
      <c r="E22" s="31">
        <f t="shared" si="1"/>
        <v>13.7525409</v>
      </c>
      <c r="F22" s="22">
        <f t="shared" si="2"/>
        <v>182208937.7</v>
      </c>
      <c r="G22" s="15">
        <v>0.46</v>
      </c>
      <c r="H22" s="32">
        <f t="shared" si="3"/>
        <v>0.001087470449</v>
      </c>
      <c r="I22" s="31">
        <f t="shared" si="4"/>
        <v>1.087470449</v>
      </c>
      <c r="J22" s="22">
        <f t="shared" si="5"/>
        <v>167553001421</v>
      </c>
      <c r="K22" s="16">
        <f t="shared" si="6"/>
        <v>0.000981</v>
      </c>
      <c r="L22" s="32">
        <f t="shared" si="7"/>
        <v>0.00000002336790811</v>
      </c>
      <c r="M22" s="31">
        <f t="shared" si="8"/>
        <v>0.3096040112</v>
      </c>
      <c r="N22" s="32">
        <f t="shared" si="9"/>
        <v>56412617.99</v>
      </c>
      <c r="O22" s="33">
        <f t="shared" si="10"/>
        <v>56.41261799</v>
      </c>
      <c r="P22" s="34">
        <f t="shared" si="11"/>
        <v>0.000005</v>
      </c>
      <c r="Q22" s="32">
        <f t="shared" si="12"/>
        <v>0.001087470449</v>
      </c>
      <c r="R22" s="31">
        <f t="shared" si="13"/>
        <v>0.01093364762</v>
      </c>
      <c r="S22" s="32">
        <f t="shared" si="14"/>
        <v>0.00001189001869</v>
      </c>
      <c r="T22" s="33">
        <f t="shared" si="15"/>
        <v>0.01189001869</v>
      </c>
      <c r="U22" s="1"/>
      <c r="V22" s="1"/>
      <c r="W22" s="1"/>
      <c r="X22" s="1"/>
      <c r="Y22" s="1"/>
      <c r="Z22" s="1"/>
    </row>
    <row r="23">
      <c r="A23" s="1"/>
      <c r="B23" s="1"/>
      <c r="C23" s="4">
        <v>5.0</v>
      </c>
      <c r="D23" s="4">
        <v>1.75175</v>
      </c>
      <c r="E23" s="31">
        <f t="shared" si="1"/>
        <v>17.1846675</v>
      </c>
      <c r="F23" s="22">
        <f t="shared" si="2"/>
        <v>227681563.2</v>
      </c>
      <c r="G23" s="15">
        <v>0.575</v>
      </c>
      <c r="H23" s="32">
        <f t="shared" si="3"/>
        <v>0.001359338061</v>
      </c>
      <c r="I23" s="31">
        <f t="shared" si="4"/>
        <v>1.359338061</v>
      </c>
      <c r="J23" s="22">
        <f t="shared" si="5"/>
        <v>167494436933</v>
      </c>
      <c r="K23" s="16">
        <f t="shared" si="6"/>
        <v>0.000981</v>
      </c>
      <c r="L23" s="32">
        <f t="shared" si="7"/>
        <v>0.00000002336790811</v>
      </c>
      <c r="M23" s="31">
        <f t="shared" si="8"/>
        <v>0.3096040082</v>
      </c>
      <c r="N23" s="32">
        <f t="shared" si="9"/>
        <v>70491124.57</v>
      </c>
      <c r="O23" s="33">
        <f t="shared" si="10"/>
        <v>70.49112457</v>
      </c>
      <c r="P23" s="34">
        <f t="shared" si="11"/>
        <v>0.000005</v>
      </c>
      <c r="Q23" s="32">
        <f t="shared" si="12"/>
        <v>0.001359338061</v>
      </c>
      <c r="R23" s="31">
        <f t="shared" si="13"/>
        <v>0.008775623566</v>
      </c>
      <c r="S23" s="32">
        <f t="shared" si="14"/>
        <v>0.00001192903913</v>
      </c>
      <c r="T23" s="33">
        <f t="shared" si="15"/>
        <v>0.01192903913</v>
      </c>
      <c r="U23" s="1"/>
      <c r="V23" s="1"/>
      <c r="W23" s="1"/>
      <c r="X23" s="1"/>
      <c r="Y23" s="1"/>
      <c r="Z23" s="1"/>
    </row>
    <row r="24">
      <c r="A24" s="1"/>
      <c r="B24" s="1"/>
      <c r="C24" s="4">
        <v>6.0</v>
      </c>
      <c r="D24" s="4">
        <v>1.77793</v>
      </c>
      <c r="E24" s="31">
        <f t="shared" si="1"/>
        <v>17.4414933</v>
      </c>
      <c r="F24" s="22">
        <f t="shared" si="2"/>
        <v>231084276.7</v>
      </c>
      <c r="G24" s="15">
        <v>0.59</v>
      </c>
      <c r="H24" s="32">
        <f t="shared" si="3"/>
        <v>0.001394799054</v>
      </c>
      <c r="I24" s="31">
        <f t="shared" si="4"/>
        <v>1.394799054</v>
      </c>
      <c r="J24" s="22">
        <f t="shared" si="5"/>
        <v>165675676330</v>
      </c>
      <c r="K24" s="16">
        <f t="shared" si="6"/>
        <v>0.000981</v>
      </c>
      <c r="L24" s="32">
        <f t="shared" si="7"/>
        <v>0.00000002336790811</v>
      </c>
      <c r="M24" s="31">
        <f t="shared" si="8"/>
        <v>0.3096040081</v>
      </c>
      <c r="N24" s="32">
        <f t="shared" si="9"/>
        <v>71544618.26</v>
      </c>
      <c r="O24" s="33">
        <f t="shared" si="10"/>
        <v>71.54461826</v>
      </c>
      <c r="P24" s="34">
        <f t="shared" si="11"/>
        <v>0.000005</v>
      </c>
      <c r="Q24" s="32">
        <f t="shared" si="12"/>
        <v>0.001394799054</v>
      </c>
      <c r="R24" s="31">
        <f t="shared" si="13"/>
        <v>0.008556614121</v>
      </c>
      <c r="S24" s="32">
        <f t="shared" si="14"/>
        <v>0.00001193475728</v>
      </c>
      <c r="T24" s="33">
        <f t="shared" si="15"/>
        <v>0.01193475728</v>
      </c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35" t="s">
        <v>31</v>
      </c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H26" s="24" t="s">
        <v>32</v>
      </c>
      <c r="I26" s="3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8" t="s">
        <v>7</v>
      </c>
      <c r="B30" s="1"/>
      <c r="C30" s="37" t="s">
        <v>8</v>
      </c>
      <c r="D30" s="38" t="s">
        <v>9</v>
      </c>
      <c r="E30" s="37" t="s">
        <v>10</v>
      </c>
      <c r="F30" s="37" t="s">
        <v>11</v>
      </c>
      <c r="G30" s="38" t="s">
        <v>12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B31" s="1"/>
      <c r="C31" s="12">
        <v>1.0</v>
      </c>
      <c r="D31" s="39">
        <v>0.53</v>
      </c>
      <c r="E31" s="14">
        <f>AVERAGE(D31:D33)</f>
        <v>0.53</v>
      </c>
      <c r="F31" s="15">
        <f> SQRT((1/6) * ((D31-E31)^2 + (D32-E31)^2 + (D33-E31)^2))</f>
        <v>0.002886751346</v>
      </c>
      <c r="G31" s="16">
        <f> SQRT((F31)^2 + ($D$2)^2)</f>
        <v>0.005773502692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2">
        <v>2.0</v>
      </c>
      <c r="D32" s="17">
        <v>0.535</v>
      </c>
      <c r="E32" s="1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2">
        <v>3.0</v>
      </c>
      <c r="D33" s="17">
        <v>0.525</v>
      </c>
      <c r="E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40" t="s">
        <v>13</v>
      </c>
      <c r="D37" s="3"/>
      <c r="E37" s="4">
        <v>423.0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40" t="s">
        <v>9</v>
      </c>
      <c r="D38" s="3"/>
      <c r="E38" s="16">
        <f>E31</f>
        <v>0.53</v>
      </c>
      <c r="I38" s="1"/>
      <c r="J38" s="1"/>
      <c r="K38" s="1"/>
      <c r="L38" s="41"/>
      <c r="M38" s="41"/>
      <c r="N38" s="42"/>
      <c r="O38" s="41"/>
      <c r="P38" s="4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43" t="s">
        <v>14</v>
      </c>
      <c r="D39" s="3"/>
      <c r="E39" s="22">
        <f> (PI() * ((E38/2000)^2))</f>
        <v>0.0000002206183441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7" t="s">
        <v>15</v>
      </c>
      <c r="D41" s="37" t="s">
        <v>16</v>
      </c>
      <c r="E41" s="37" t="s">
        <v>17</v>
      </c>
      <c r="F41" s="44" t="s">
        <v>18</v>
      </c>
      <c r="G41" s="44" t="s">
        <v>19</v>
      </c>
      <c r="H41" s="44" t="s">
        <v>20</v>
      </c>
      <c r="I41" s="44" t="s">
        <v>21</v>
      </c>
      <c r="J41" s="44" t="s">
        <v>22</v>
      </c>
      <c r="K41" s="26" t="s">
        <v>23</v>
      </c>
      <c r="L41" s="27" t="s">
        <v>24</v>
      </c>
      <c r="M41" s="3"/>
      <c r="N41" s="26" t="s">
        <v>25</v>
      </c>
      <c r="O41" s="26" t="s">
        <v>26</v>
      </c>
      <c r="P41" s="28" t="s">
        <v>27</v>
      </c>
      <c r="Q41" s="29" t="s">
        <v>28</v>
      </c>
      <c r="R41" s="3"/>
      <c r="S41" s="28" t="s">
        <v>29</v>
      </c>
      <c r="T41" s="30" t="s">
        <v>30</v>
      </c>
      <c r="U41" s="1"/>
      <c r="V41" s="1"/>
      <c r="W41" s="1"/>
      <c r="X41" s="1"/>
      <c r="Y41" s="1"/>
      <c r="Z41" s="1"/>
    </row>
    <row r="42">
      <c r="A42" s="1"/>
      <c r="B42" s="1"/>
      <c r="C42" s="4">
        <v>1.0</v>
      </c>
      <c r="D42" s="4">
        <v>0.35092</v>
      </c>
      <c r="E42" s="31">
        <f t="shared" ref="E42:E47" si="16">D42*$G$2</f>
        <v>3.4425252</v>
      </c>
      <c r="F42" s="22">
        <f t="shared" ref="F42:F47" si="17">E42/$E$39</f>
        <v>15603984.4</v>
      </c>
      <c r="G42" s="15">
        <v>0.06</v>
      </c>
      <c r="H42" s="32">
        <f t="shared" ref="H42:H47" si="18">G42/$E$37</f>
        <v>0.0001418439716</v>
      </c>
      <c r="I42" s="45">
        <f t="shared" ref="I42:I47" si="19">H42*1000</f>
        <v>0.1418439716</v>
      </c>
      <c r="J42" s="22">
        <f t="shared" ref="J42:J47" si="20"> (E42/$E$39)/H42</f>
        <v>110008090031</v>
      </c>
      <c r="K42" s="16">
        <f t="shared" ref="K42:K47" si="21">$D$4*$G$2</f>
        <v>0.000981</v>
      </c>
      <c r="L42" s="32">
        <f t="shared" ref="L42:L47" si="22">PI()*2*$E$16*$G$8/($E$8/2)</f>
        <v>0.00000002336790811</v>
      </c>
      <c r="M42" s="31">
        <f t="shared" ref="M42:M47" si="23">SQRT(((K42/E42)^2)+((L42/$E$16)^2))</f>
        <v>0.3096041341</v>
      </c>
      <c r="N42" s="32">
        <f t="shared" ref="N42:N47" si="24">E42*M42/$E$16</f>
        <v>14121167.68</v>
      </c>
      <c r="O42" s="33">
        <f t="shared" ref="O42:O47" si="25">N42/1000000</f>
        <v>14.12116768</v>
      </c>
      <c r="P42" s="34">
        <f t="shared" ref="P42:P47" si="26">$D$2/1000</f>
        <v>0.000005</v>
      </c>
      <c r="Q42" s="32">
        <f t="shared" ref="Q42:Q47" si="27">H42</f>
        <v>0.0001418439716</v>
      </c>
      <c r="R42" s="31">
        <f t="shared" ref="R42:R47" si="28">SQRT(((P42*1000/G42)^2)+(($K$3*1000/$E$37)^2))</f>
        <v>0.08334171613</v>
      </c>
      <c r="S42" s="32">
        <f t="shared" ref="S42:S47" si="29">Q42*R42</f>
        <v>0.00001182152002</v>
      </c>
      <c r="T42" s="33">
        <f t="shared" ref="T42:T47" si="30">S42*1000</f>
        <v>0.01182152002</v>
      </c>
      <c r="U42" s="1"/>
      <c r="V42" s="1"/>
      <c r="W42" s="1"/>
      <c r="X42" s="1"/>
      <c r="Y42" s="1"/>
      <c r="Z42" s="1"/>
    </row>
    <row r="43">
      <c r="A43" s="1"/>
      <c r="B43" s="1"/>
      <c r="C43" s="4">
        <v>2.0</v>
      </c>
      <c r="D43" s="4">
        <v>0.70092</v>
      </c>
      <c r="E43" s="31">
        <f t="shared" si="16"/>
        <v>6.8760252</v>
      </c>
      <c r="F43" s="22">
        <f t="shared" si="17"/>
        <v>31167060.15</v>
      </c>
      <c r="G43" s="15">
        <v>0.16</v>
      </c>
      <c r="H43" s="32">
        <f t="shared" si="18"/>
        <v>0.000378250591</v>
      </c>
      <c r="I43" s="45">
        <f t="shared" si="19"/>
        <v>0.378250591</v>
      </c>
      <c r="J43" s="22">
        <f t="shared" si="20"/>
        <v>82397915263</v>
      </c>
      <c r="K43" s="16">
        <f t="shared" si="21"/>
        <v>0.000981</v>
      </c>
      <c r="L43" s="32">
        <f t="shared" si="22"/>
        <v>0.00000002336790811</v>
      </c>
      <c r="M43" s="31">
        <f t="shared" si="23"/>
        <v>0.3096040358</v>
      </c>
      <c r="N43" s="32">
        <f t="shared" si="24"/>
        <v>28205305.23</v>
      </c>
      <c r="O43" s="33">
        <f t="shared" si="25"/>
        <v>28.20530523</v>
      </c>
      <c r="P43" s="34">
        <f t="shared" si="26"/>
        <v>0.000005</v>
      </c>
      <c r="Q43" s="32">
        <f t="shared" si="27"/>
        <v>0.000378250591</v>
      </c>
      <c r="R43" s="31">
        <f t="shared" si="28"/>
        <v>0.03127234725</v>
      </c>
      <c r="S43" s="32">
        <f t="shared" si="29"/>
        <v>0.00001182878383</v>
      </c>
      <c r="T43" s="33">
        <f t="shared" si="30"/>
        <v>0.01182878383</v>
      </c>
      <c r="U43" s="1"/>
      <c r="V43" s="1"/>
      <c r="W43" s="1"/>
      <c r="X43" s="1"/>
      <c r="Y43" s="1"/>
      <c r="Z43" s="1"/>
    </row>
    <row r="44">
      <c r="A44" s="1"/>
      <c r="B44" s="1"/>
      <c r="C44" s="4">
        <v>3.0</v>
      </c>
      <c r="D44" s="4">
        <v>1.05178</v>
      </c>
      <c r="E44" s="31">
        <f t="shared" si="16"/>
        <v>10.3179618</v>
      </c>
      <c r="F44" s="22">
        <f t="shared" si="17"/>
        <v>46768376.59</v>
      </c>
      <c r="G44" s="15">
        <v>0.24</v>
      </c>
      <c r="H44" s="32">
        <f t="shared" si="18"/>
        <v>0.0005673758865</v>
      </c>
      <c r="I44" s="45">
        <f t="shared" si="19"/>
        <v>0.5673758865</v>
      </c>
      <c r="J44" s="22">
        <f t="shared" si="20"/>
        <v>82429263744</v>
      </c>
      <c r="K44" s="16">
        <f t="shared" si="21"/>
        <v>0.000981</v>
      </c>
      <c r="L44" s="32">
        <f t="shared" si="22"/>
        <v>0.00000002336790811</v>
      </c>
      <c r="M44" s="31">
        <f t="shared" si="23"/>
        <v>0.3096040176</v>
      </c>
      <c r="N44" s="32">
        <f t="shared" si="24"/>
        <v>42324051.51</v>
      </c>
      <c r="O44" s="33">
        <f t="shared" si="25"/>
        <v>42.32405151</v>
      </c>
      <c r="P44" s="34">
        <f t="shared" si="26"/>
        <v>0.000005</v>
      </c>
      <c r="Q44" s="32">
        <f t="shared" si="27"/>
        <v>0.0005673758865</v>
      </c>
      <c r="R44" s="31">
        <f t="shared" si="28"/>
        <v>0.02086683924</v>
      </c>
      <c r="S44" s="32">
        <f t="shared" si="29"/>
        <v>0.00001183934141</v>
      </c>
      <c r="T44" s="33">
        <f t="shared" si="30"/>
        <v>0.01183934141</v>
      </c>
      <c r="U44" s="1"/>
      <c r="V44" s="1"/>
      <c r="W44" s="1"/>
      <c r="X44" s="1"/>
      <c r="Y44" s="1"/>
      <c r="Z44" s="1"/>
    </row>
    <row r="45">
      <c r="A45" s="1"/>
      <c r="B45" s="1"/>
      <c r="C45" s="4">
        <v>4.0</v>
      </c>
      <c r="D45" s="4">
        <v>1.40189</v>
      </c>
      <c r="E45" s="31">
        <f t="shared" si="16"/>
        <v>13.7525409</v>
      </c>
      <c r="F45" s="22">
        <f t="shared" si="17"/>
        <v>62336343.59</v>
      </c>
      <c r="G45" s="15">
        <v>0.32</v>
      </c>
      <c r="H45" s="32">
        <f t="shared" si="18"/>
        <v>0.000756501182</v>
      </c>
      <c r="I45" s="45">
        <f t="shared" si="19"/>
        <v>0.756501182</v>
      </c>
      <c r="J45" s="22">
        <f t="shared" si="20"/>
        <v>82400854183</v>
      </c>
      <c r="K45" s="16">
        <f t="shared" si="21"/>
        <v>0.000981</v>
      </c>
      <c r="L45" s="32">
        <f t="shared" si="22"/>
        <v>0.00000002336790811</v>
      </c>
      <c r="M45" s="31">
        <f t="shared" si="23"/>
        <v>0.3096040112</v>
      </c>
      <c r="N45" s="32">
        <f t="shared" si="24"/>
        <v>56412617.99</v>
      </c>
      <c r="O45" s="33">
        <f t="shared" si="25"/>
        <v>56.41261799</v>
      </c>
      <c r="P45" s="34">
        <f t="shared" si="26"/>
        <v>0.000005</v>
      </c>
      <c r="Q45" s="32">
        <f t="shared" si="27"/>
        <v>0.000756501182</v>
      </c>
      <c r="R45" s="31">
        <f t="shared" si="28"/>
        <v>0.01566964669</v>
      </c>
      <c r="S45" s="32">
        <f t="shared" si="29"/>
        <v>0.00001185410624</v>
      </c>
      <c r="T45" s="33">
        <f t="shared" si="30"/>
        <v>0.01185410624</v>
      </c>
      <c r="U45" s="1"/>
      <c r="V45" s="1"/>
      <c r="W45" s="1"/>
      <c r="X45" s="1"/>
      <c r="Y45" s="1"/>
      <c r="Z45" s="1"/>
    </row>
    <row r="46">
      <c r="A46" s="1"/>
      <c r="B46" s="1"/>
      <c r="C46" s="4">
        <v>5.0</v>
      </c>
      <c r="D46" s="4">
        <v>1.75175</v>
      </c>
      <c r="E46" s="31">
        <f t="shared" si="16"/>
        <v>17.1846675</v>
      </c>
      <c r="F46" s="22">
        <f t="shared" si="17"/>
        <v>77893194.11</v>
      </c>
      <c r="G46" s="15">
        <v>0.4</v>
      </c>
      <c r="H46" s="32">
        <f t="shared" si="18"/>
        <v>0.0009456264775</v>
      </c>
      <c r="I46" s="45">
        <f t="shared" si="19"/>
        <v>0.9456264775</v>
      </c>
      <c r="J46" s="22">
        <f t="shared" si="20"/>
        <v>82372052766</v>
      </c>
      <c r="K46" s="16">
        <f t="shared" si="21"/>
        <v>0.000981</v>
      </c>
      <c r="L46" s="32">
        <f t="shared" si="22"/>
        <v>0.00000002336790811</v>
      </c>
      <c r="M46" s="31">
        <f t="shared" si="23"/>
        <v>0.3096040082</v>
      </c>
      <c r="N46" s="32">
        <f t="shared" si="24"/>
        <v>70491124.57</v>
      </c>
      <c r="O46" s="33">
        <f t="shared" si="25"/>
        <v>70.49112457</v>
      </c>
      <c r="P46" s="34">
        <f t="shared" si="26"/>
        <v>0.000005</v>
      </c>
      <c r="Q46" s="32">
        <f t="shared" si="27"/>
        <v>0.0009456264775</v>
      </c>
      <c r="R46" s="31">
        <f t="shared" si="28"/>
        <v>0.01255576371</v>
      </c>
      <c r="S46" s="32">
        <f t="shared" si="29"/>
        <v>0.00001187306261</v>
      </c>
      <c r="T46" s="33">
        <f t="shared" si="30"/>
        <v>0.01187306261</v>
      </c>
      <c r="U46" s="1"/>
      <c r="V46" s="1"/>
      <c r="W46" s="1"/>
      <c r="X46" s="1"/>
      <c r="Y46" s="1"/>
      <c r="Z46" s="1"/>
    </row>
    <row r="47">
      <c r="A47" s="1"/>
      <c r="B47" s="1"/>
      <c r="C47" s="4">
        <v>6.0</v>
      </c>
      <c r="D47" s="4">
        <v>1.77793</v>
      </c>
      <c r="E47" s="31">
        <f t="shared" si="16"/>
        <v>17.4414933</v>
      </c>
      <c r="F47" s="46">
        <f t="shared" si="17"/>
        <v>79057312.17</v>
      </c>
      <c r="G47" s="15">
        <v>0.405</v>
      </c>
      <c r="H47" s="32">
        <f t="shared" si="18"/>
        <v>0.0009574468085</v>
      </c>
      <c r="I47" s="45">
        <f t="shared" si="19"/>
        <v>0.9574468085</v>
      </c>
      <c r="J47" s="22">
        <f t="shared" si="20"/>
        <v>82570970490</v>
      </c>
      <c r="K47" s="16">
        <f t="shared" si="21"/>
        <v>0.000981</v>
      </c>
      <c r="L47" s="32">
        <f t="shared" si="22"/>
        <v>0.00000002336790811</v>
      </c>
      <c r="M47" s="31">
        <f t="shared" si="23"/>
        <v>0.3096040081</v>
      </c>
      <c r="N47" s="32">
        <f t="shared" si="24"/>
        <v>71544618.26</v>
      </c>
      <c r="O47" s="33">
        <f t="shared" si="25"/>
        <v>71.54461826</v>
      </c>
      <c r="P47" s="34">
        <f t="shared" si="26"/>
        <v>0.000005</v>
      </c>
      <c r="Q47" s="32">
        <f t="shared" si="27"/>
        <v>0.0009574468085</v>
      </c>
      <c r="R47" s="31">
        <f t="shared" si="28"/>
        <v>0.01240213661</v>
      </c>
      <c r="S47" s="32">
        <f t="shared" si="29"/>
        <v>0.00001187438612</v>
      </c>
      <c r="T47" s="33">
        <f t="shared" si="30"/>
        <v>0.01187438612</v>
      </c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47"/>
      <c r="G48" s="1"/>
      <c r="H48" s="35" t="s">
        <v>31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24" t="s">
        <v>33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8" t="s">
        <v>34</v>
      </c>
      <c r="B53" s="1"/>
      <c r="C53" s="48" t="s">
        <v>8</v>
      </c>
      <c r="D53" s="49" t="s">
        <v>9</v>
      </c>
      <c r="E53" s="48" t="s">
        <v>10</v>
      </c>
      <c r="F53" s="48" t="s">
        <v>11</v>
      </c>
      <c r="G53" s="49" t="s">
        <v>12</v>
      </c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B54" s="1"/>
      <c r="C54" s="12">
        <v>1.0</v>
      </c>
      <c r="D54" s="13">
        <v>0.31</v>
      </c>
      <c r="E54" s="14">
        <f>AVERAGE(D54:D56)</f>
        <v>0.3116666667</v>
      </c>
      <c r="F54" s="15">
        <f> SQRT((1/6) * ((D54-E54)^2 + (D55-E54)^2 + (D56-E54)^2))</f>
        <v>0.004409585518</v>
      </c>
      <c r="G54" s="16">
        <f> SQRT((F54)^2 + ($D$2)^2)</f>
        <v>0.006666666667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2">
        <v>2.0</v>
      </c>
      <c r="D55" s="17">
        <v>0.305</v>
      </c>
      <c r="E55" s="1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2">
        <v>3.0</v>
      </c>
      <c r="D56" s="17">
        <v>0.32</v>
      </c>
      <c r="E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50" t="s">
        <v>13</v>
      </c>
      <c r="D61" s="3"/>
      <c r="E61" s="4">
        <v>426.0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50" t="s">
        <v>9</v>
      </c>
      <c r="D62" s="3"/>
      <c r="E62" s="16">
        <f>E54</f>
        <v>0.3116666667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51" t="s">
        <v>14</v>
      </c>
      <c r="D63" s="3"/>
      <c r="E63" s="22">
        <f> (PI() * ((E62/2000)^2))</f>
        <v>0.00000007629052327</v>
      </c>
      <c r="F63" s="5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48" t="s">
        <v>15</v>
      </c>
      <c r="D65" s="48" t="s">
        <v>16</v>
      </c>
      <c r="E65" s="53" t="s">
        <v>17</v>
      </c>
      <c r="F65" s="53" t="s">
        <v>18</v>
      </c>
      <c r="G65" s="53" t="s">
        <v>19</v>
      </c>
      <c r="H65" s="53" t="s">
        <v>20</v>
      </c>
      <c r="I65" s="53" t="s">
        <v>21</v>
      </c>
      <c r="J65" s="53" t="s">
        <v>22</v>
      </c>
      <c r="K65" s="26" t="s">
        <v>23</v>
      </c>
      <c r="L65" s="27" t="s">
        <v>24</v>
      </c>
      <c r="M65" s="3"/>
      <c r="N65" s="26" t="s">
        <v>25</v>
      </c>
      <c r="O65" s="26" t="s">
        <v>26</v>
      </c>
      <c r="P65" s="28" t="s">
        <v>27</v>
      </c>
      <c r="Q65" s="29" t="s">
        <v>28</v>
      </c>
      <c r="R65" s="3"/>
      <c r="S65" s="28" t="s">
        <v>29</v>
      </c>
      <c r="T65" s="30" t="s">
        <v>30</v>
      </c>
      <c r="U65" s="1"/>
      <c r="V65" s="1"/>
      <c r="W65" s="1"/>
      <c r="X65" s="1"/>
      <c r="Y65" s="1"/>
      <c r="Z65" s="1"/>
    </row>
    <row r="66">
      <c r="A66" s="1"/>
      <c r="B66" s="1"/>
      <c r="C66" s="4">
        <v>1.0</v>
      </c>
      <c r="D66" s="4">
        <v>0.35109</v>
      </c>
      <c r="E66" s="31">
        <f t="shared" ref="E66:E71" si="31">D66*$G$2</f>
        <v>3.4441929</v>
      </c>
      <c r="F66" s="22">
        <f t="shared" ref="F66:F71" si="32">(E66/$E$63)</f>
        <v>45145750.12</v>
      </c>
      <c r="G66" s="15">
        <v>0.13</v>
      </c>
      <c r="H66" s="32">
        <f t="shared" ref="H66:H71" si="33">G66/$E$14</f>
        <v>0.0003073286052</v>
      </c>
      <c r="I66" s="31">
        <f t="shared" ref="I66:I71" si="34">H66*1000</f>
        <v>0.3073286052</v>
      </c>
      <c r="J66" s="22">
        <f t="shared" ref="J66:J71" si="35"> (E66/$E$63)/H66</f>
        <v>146897325395</v>
      </c>
      <c r="K66" s="16">
        <f t="shared" ref="K66:K71" si="36">$D$4*$G$2</f>
        <v>0.000981</v>
      </c>
      <c r="L66" s="32">
        <f t="shared" ref="L66:L71" si="37">PI()*2*$E$16*$G$8/($E$8/2)</f>
        <v>0.00000002336790811</v>
      </c>
      <c r="M66" s="31">
        <f t="shared" ref="M66:M71" si="38">SQRT(((K66/E66)^2)+((L66/$E$16)^2))</f>
        <v>0.309604134</v>
      </c>
      <c r="N66" s="32">
        <f t="shared" ref="N66:N71" si="39">E66*M66/$E$16</f>
        <v>14128008.55</v>
      </c>
      <c r="O66" s="33">
        <f t="shared" ref="O66:O71" si="40">N66/1000000</f>
        <v>14.12800855</v>
      </c>
      <c r="P66" s="34">
        <f t="shared" ref="P66:P71" si="41">$D$2/1000</f>
        <v>0.000005</v>
      </c>
      <c r="Q66" s="32">
        <f t="shared" ref="Q66:Q71" si="42">H66</f>
        <v>0.0003073286052</v>
      </c>
      <c r="R66" s="31">
        <f t="shared" ref="R66:R71" si="43">SQRT(((P66*1000/G66)^2)+(($K$3*1000/$E$61)^2))</f>
        <v>0.038479443</v>
      </c>
      <c r="S66" s="32">
        <f t="shared" ref="S66:S71" si="44">Q66*R66</f>
        <v>0.00001182583355</v>
      </c>
      <c r="T66" s="33">
        <f t="shared" ref="T66:T71" si="45">S66*1000</f>
        <v>0.01182583355</v>
      </c>
      <c r="U66" s="1"/>
      <c r="V66" s="1"/>
      <c r="W66" s="1"/>
      <c r="X66" s="1"/>
      <c r="Y66" s="1"/>
      <c r="Z66" s="1"/>
    </row>
    <row r="67">
      <c r="A67" s="1"/>
      <c r="B67" s="1"/>
      <c r="C67" s="4">
        <v>2.0</v>
      </c>
      <c r="D67" s="4">
        <v>0.70117</v>
      </c>
      <c r="E67" s="31">
        <f t="shared" si="31"/>
        <v>6.8784777</v>
      </c>
      <c r="F67" s="22">
        <f t="shared" si="32"/>
        <v>90161626.97</v>
      </c>
      <c r="G67" s="15">
        <v>0.23</v>
      </c>
      <c r="H67" s="32">
        <f t="shared" si="33"/>
        <v>0.0005437352246</v>
      </c>
      <c r="I67" s="31">
        <f t="shared" si="34"/>
        <v>0.5437352246</v>
      </c>
      <c r="J67" s="22">
        <f t="shared" si="35"/>
        <v>165818992208</v>
      </c>
      <c r="K67" s="16">
        <f t="shared" si="36"/>
        <v>0.000981</v>
      </c>
      <c r="L67" s="32">
        <f t="shared" si="37"/>
        <v>0.00000002336790811</v>
      </c>
      <c r="M67" s="31">
        <f t="shared" si="38"/>
        <v>0.3096040358</v>
      </c>
      <c r="N67" s="32">
        <f t="shared" si="39"/>
        <v>28215365.33</v>
      </c>
      <c r="O67" s="33">
        <f t="shared" si="40"/>
        <v>28.21536533</v>
      </c>
      <c r="P67" s="34">
        <f t="shared" si="41"/>
        <v>0.000005</v>
      </c>
      <c r="Q67" s="32">
        <f t="shared" si="42"/>
        <v>0.0005437352246</v>
      </c>
      <c r="R67" s="31">
        <f t="shared" si="43"/>
        <v>0.02177079201</v>
      </c>
      <c r="S67" s="32">
        <f t="shared" si="44"/>
        <v>0.00001183754648</v>
      </c>
      <c r="T67" s="33">
        <f t="shared" si="45"/>
        <v>0.01183754648</v>
      </c>
      <c r="U67" s="1"/>
      <c r="V67" s="1"/>
      <c r="W67" s="1"/>
      <c r="X67" s="1"/>
      <c r="Y67" s="1"/>
      <c r="Z67" s="1"/>
    </row>
    <row r="68">
      <c r="A68" s="1"/>
      <c r="B68" s="1"/>
      <c r="C68" s="4">
        <v>3.0</v>
      </c>
      <c r="D68" s="4">
        <v>1.05219</v>
      </c>
      <c r="E68" s="31">
        <f t="shared" si="31"/>
        <v>10.3219839</v>
      </c>
      <c r="F68" s="22">
        <f t="shared" si="32"/>
        <v>135298376</v>
      </c>
      <c r="G68" s="15">
        <v>0.335</v>
      </c>
      <c r="H68" s="32">
        <f t="shared" si="33"/>
        <v>0.0007919621749</v>
      </c>
      <c r="I68" s="31">
        <f t="shared" si="34"/>
        <v>0.7919621749</v>
      </c>
      <c r="J68" s="22">
        <f t="shared" si="35"/>
        <v>170839441899</v>
      </c>
      <c r="K68" s="16">
        <f t="shared" si="36"/>
        <v>0.000981</v>
      </c>
      <c r="L68" s="32">
        <f t="shared" si="37"/>
        <v>0.00000002336790811</v>
      </c>
      <c r="M68" s="31">
        <f t="shared" si="38"/>
        <v>0.3096040176</v>
      </c>
      <c r="N68" s="32">
        <f t="shared" si="39"/>
        <v>42340550.07</v>
      </c>
      <c r="O68" s="33">
        <f t="shared" si="40"/>
        <v>42.34055007</v>
      </c>
      <c r="P68" s="34">
        <f t="shared" si="41"/>
        <v>0.000005</v>
      </c>
      <c r="Q68" s="32">
        <f t="shared" si="42"/>
        <v>0.0007919621749</v>
      </c>
      <c r="R68" s="31">
        <f t="shared" si="43"/>
        <v>0.01497145136</v>
      </c>
      <c r="S68" s="32">
        <f t="shared" si="44"/>
        <v>0.00001185682318</v>
      </c>
      <c r="T68" s="33">
        <f t="shared" si="45"/>
        <v>0.01185682318</v>
      </c>
      <c r="U68" s="1"/>
      <c r="V68" s="1"/>
      <c r="W68" s="1"/>
      <c r="X68" s="1"/>
      <c r="Y68" s="1"/>
      <c r="Z68" s="1"/>
    </row>
    <row r="69">
      <c r="A69" s="1"/>
      <c r="B69" s="1"/>
      <c r="C69" s="4">
        <v>4.0</v>
      </c>
      <c r="D69" s="4">
        <v>1.40243</v>
      </c>
      <c r="E69" s="31">
        <f t="shared" si="31"/>
        <v>13.7578383</v>
      </c>
      <c r="F69" s="22">
        <f t="shared" si="32"/>
        <v>180334826.8</v>
      </c>
      <c r="G69" s="15">
        <v>0.46</v>
      </c>
      <c r="H69" s="32">
        <f t="shared" si="33"/>
        <v>0.001087470449</v>
      </c>
      <c r="I69" s="31">
        <f t="shared" si="34"/>
        <v>1.087470449</v>
      </c>
      <c r="J69" s="22">
        <f t="shared" si="35"/>
        <v>165829634213</v>
      </c>
      <c r="K69" s="16">
        <f t="shared" si="36"/>
        <v>0.000981</v>
      </c>
      <c r="L69" s="32">
        <f t="shared" si="37"/>
        <v>0.00000002336790811</v>
      </c>
      <c r="M69" s="31">
        <f t="shared" si="38"/>
        <v>0.3096040112</v>
      </c>
      <c r="N69" s="32">
        <f t="shared" si="39"/>
        <v>56434347.81</v>
      </c>
      <c r="O69" s="33">
        <f t="shared" si="40"/>
        <v>56.43434781</v>
      </c>
      <c r="P69" s="34">
        <f t="shared" si="41"/>
        <v>0.000005</v>
      </c>
      <c r="Q69" s="32">
        <f t="shared" si="42"/>
        <v>0.001087470449</v>
      </c>
      <c r="R69" s="31">
        <f t="shared" si="43"/>
        <v>0.01093275083</v>
      </c>
      <c r="S69" s="32">
        <f t="shared" si="44"/>
        <v>0.00001188904345</v>
      </c>
      <c r="T69" s="33">
        <f t="shared" si="45"/>
        <v>0.01188904345</v>
      </c>
      <c r="U69" s="1"/>
      <c r="V69" s="1"/>
      <c r="W69" s="1"/>
      <c r="X69" s="1"/>
      <c r="Y69" s="1"/>
      <c r="Z69" s="1"/>
    </row>
    <row r="70">
      <c r="A70" s="1"/>
      <c r="B70" s="1"/>
      <c r="C70" s="4">
        <v>5.0</v>
      </c>
      <c r="D70" s="4">
        <v>1.75246</v>
      </c>
      <c r="E70" s="31">
        <f t="shared" si="31"/>
        <v>17.1916326</v>
      </c>
      <c r="F70" s="22">
        <f t="shared" si="32"/>
        <v>225344274.3</v>
      </c>
      <c r="G70" s="15">
        <v>0.6</v>
      </c>
      <c r="H70" s="32">
        <f t="shared" si="33"/>
        <v>0.001418439716</v>
      </c>
      <c r="I70" s="31">
        <f t="shared" si="34"/>
        <v>1.418439716</v>
      </c>
      <c r="J70" s="22">
        <f t="shared" si="35"/>
        <v>158867713369</v>
      </c>
      <c r="K70" s="16">
        <f t="shared" si="36"/>
        <v>0.000981</v>
      </c>
      <c r="L70" s="32">
        <f t="shared" si="37"/>
        <v>0.00000002336790811</v>
      </c>
      <c r="M70" s="31">
        <f t="shared" si="38"/>
        <v>0.3096040082</v>
      </c>
      <c r="N70" s="32">
        <f t="shared" si="39"/>
        <v>70519695.25</v>
      </c>
      <c r="O70" s="33">
        <f t="shared" si="40"/>
        <v>70.51969525</v>
      </c>
      <c r="P70" s="34">
        <f t="shared" si="41"/>
        <v>0.000005</v>
      </c>
      <c r="Q70" s="32">
        <f t="shared" si="42"/>
        <v>0.001418439716</v>
      </c>
      <c r="R70" s="31">
        <f t="shared" si="43"/>
        <v>0.008415582991</v>
      </c>
      <c r="S70" s="32">
        <f t="shared" si="44"/>
        <v>0.00001193699715</v>
      </c>
      <c r="T70" s="33">
        <f t="shared" si="45"/>
        <v>0.01193699715</v>
      </c>
      <c r="U70" s="1"/>
      <c r="V70" s="1"/>
      <c r="W70" s="1"/>
      <c r="X70" s="1"/>
      <c r="Y70" s="1"/>
      <c r="Z70" s="1"/>
    </row>
    <row r="71">
      <c r="A71" s="1"/>
      <c r="B71" s="1"/>
      <c r="C71" s="4">
        <v>6.0</v>
      </c>
      <c r="D71" s="4">
        <v>1.77873</v>
      </c>
      <c r="E71" s="31">
        <f t="shared" si="31"/>
        <v>17.4493413</v>
      </c>
      <c r="F71" s="22">
        <f t="shared" si="32"/>
        <v>228722265.3</v>
      </c>
      <c r="G71" s="15">
        <v>0.67</v>
      </c>
      <c r="H71" s="54">
        <f t="shared" si="33"/>
        <v>0.00158392435</v>
      </c>
      <c r="I71" s="31">
        <f t="shared" si="34"/>
        <v>1.58392435</v>
      </c>
      <c r="J71" s="22">
        <f t="shared" si="35"/>
        <v>144402265983</v>
      </c>
      <c r="K71" s="16">
        <f t="shared" si="36"/>
        <v>0.000981</v>
      </c>
      <c r="L71" s="32">
        <f t="shared" si="37"/>
        <v>0.00000002336790811</v>
      </c>
      <c r="M71" s="31">
        <f t="shared" si="38"/>
        <v>0.3096040081</v>
      </c>
      <c r="N71" s="32">
        <f t="shared" si="39"/>
        <v>71576810.58</v>
      </c>
      <c r="O71" s="33">
        <f t="shared" si="40"/>
        <v>71.57681058</v>
      </c>
      <c r="P71" s="34">
        <f t="shared" si="41"/>
        <v>0.000005</v>
      </c>
      <c r="Q71" s="54">
        <f t="shared" si="42"/>
        <v>0.00158392435</v>
      </c>
      <c r="R71" s="31">
        <f t="shared" si="43"/>
        <v>0.007554421449</v>
      </c>
      <c r="S71" s="32">
        <f t="shared" si="44"/>
        <v>0.00001196563208</v>
      </c>
      <c r="T71" s="33">
        <f t="shared" si="45"/>
        <v>0.01196563208</v>
      </c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49" t="s">
        <v>31</v>
      </c>
      <c r="H72" s="3"/>
      <c r="I72" s="3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G73" s="55" t="s">
        <v>32</v>
      </c>
      <c r="H73" s="3"/>
      <c r="I73" s="3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8" t="s">
        <v>35</v>
      </c>
      <c r="B84" s="1"/>
      <c r="C84" s="9" t="s">
        <v>8</v>
      </c>
      <c r="D84" s="10" t="s">
        <v>9</v>
      </c>
      <c r="E84" s="9" t="s">
        <v>10</v>
      </c>
      <c r="F84" s="9" t="s">
        <v>11</v>
      </c>
      <c r="G84" s="10" t="s">
        <v>12</v>
      </c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B85" s="1"/>
      <c r="C85" s="12">
        <v>1.0</v>
      </c>
      <c r="D85" s="39">
        <v>0.315</v>
      </c>
      <c r="E85" s="14">
        <f>AVERAGE(D85:D87)</f>
        <v>0.3083333333</v>
      </c>
      <c r="F85" s="15">
        <f> SQRT((1/6) * ((D85-E85)^2 + (D86-E85)^2 + (D87-E85)^2))</f>
        <v>0.006666666667</v>
      </c>
      <c r="G85" s="16">
        <f> SQRT((F85)^2 + ($D$2)^2)</f>
        <v>0.008333333333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2">
        <v>2.0</v>
      </c>
      <c r="D86" s="17">
        <v>0.295</v>
      </c>
      <c r="E86" s="1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2">
        <v>3.0</v>
      </c>
      <c r="D87" s="17">
        <v>0.315</v>
      </c>
      <c r="E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0" t="s">
        <v>13</v>
      </c>
      <c r="D92" s="3"/>
      <c r="E92" s="4">
        <v>426.0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0" t="s">
        <v>9</v>
      </c>
      <c r="D93" s="3"/>
      <c r="E93" s="16">
        <f>E85</f>
        <v>0.3083333333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1" t="s">
        <v>14</v>
      </c>
      <c r="D94" s="3"/>
      <c r="E94" s="22">
        <f> (PI() * ((E93/2000)^2))</f>
        <v>0.00000007466736706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G95" s="17" t="s">
        <v>36</v>
      </c>
      <c r="H95" s="56"/>
      <c r="I95" s="56"/>
      <c r="J95" s="3"/>
      <c r="K95" s="1"/>
      <c r="Z95" s="1"/>
    </row>
    <row r="96">
      <c r="A96" s="1"/>
      <c r="B96" s="1"/>
      <c r="C96" s="9" t="s">
        <v>15</v>
      </c>
      <c r="D96" s="9" t="s">
        <v>16</v>
      </c>
      <c r="E96" s="25" t="s">
        <v>17</v>
      </c>
      <c r="F96" s="25" t="s">
        <v>18</v>
      </c>
      <c r="G96" s="25" t="s">
        <v>19</v>
      </c>
      <c r="H96" s="25" t="s">
        <v>20</v>
      </c>
      <c r="I96" s="25" t="s">
        <v>21</v>
      </c>
      <c r="J96" s="25" t="s">
        <v>22</v>
      </c>
      <c r="K96" s="26" t="s">
        <v>23</v>
      </c>
      <c r="L96" s="27" t="s">
        <v>24</v>
      </c>
      <c r="M96" s="3"/>
      <c r="N96" s="26" t="s">
        <v>25</v>
      </c>
      <c r="O96" s="26" t="s">
        <v>26</v>
      </c>
      <c r="P96" s="28" t="s">
        <v>27</v>
      </c>
      <c r="Q96" s="29" t="s">
        <v>28</v>
      </c>
      <c r="R96" s="3"/>
      <c r="S96" s="28" t="s">
        <v>29</v>
      </c>
      <c r="T96" s="30" t="s">
        <v>30</v>
      </c>
      <c r="Z96" s="1"/>
    </row>
    <row r="97">
      <c r="A97" s="1"/>
      <c r="B97" s="1"/>
      <c r="C97" s="4">
        <v>1.0</v>
      </c>
      <c r="D97" s="4">
        <v>0.35092</v>
      </c>
      <c r="E97" s="31">
        <f t="shared" ref="E97:E102" si="46">D97*$G$2</f>
        <v>3.4425252</v>
      </c>
      <c r="F97" s="22">
        <f t="shared" ref="F97:F102" si="47">(E97/$E$94)</f>
        <v>46104815.74</v>
      </c>
      <c r="G97" s="15">
        <v>0.11</v>
      </c>
      <c r="H97" s="32">
        <f t="shared" ref="H97:H102" si="48">G97/$E$92</f>
        <v>0.0002582159624</v>
      </c>
      <c r="I97" s="31">
        <f t="shared" ref="I97:I102" si="49">H97*1000</f>
        <v>0.2582159624</v>
      </c>
      <c r="J97" s="22">
        <f t="shared" ref="J97:J102" si="50"> (E97/$E$94)/H97</f>
        <v>178551377311</v>
      </c>
      <c r="K97" s="16">
        <f t="shared" ref="K97:K102" si="51">$D$4*$G$2</f>
        <v>0.000981</v>
      </c>
      <c r="L97" s="32">
        <f t="shared" ref="L97:L102" si="52">PI()*2*$E$16*$G$8/($E$8/2)</f>
        <v>0.00000002336790811</v>
      </c>
      <c r="M97" s="31">
        <f t="shared" ref="M97:M102" si="53">SQRT(((K97/E97)^2)+((L97/$E$16)^2))</f>
        <v>0.3096041341</v>
      </c>
      <c r="N97" s="32">
        <f t="shared" ref="N97:N102" si="54">E97*M97/$E$16</f>
        <v>14121167.68</v>
      </c>
      <c r="O97" s="33">
        <f t="shared" ref="O97:O102" si="55">N97/1000000</f>
        <v>14.12116768</v>
      </c>
      <c r="P97" s="34">
        <f t="shared" ref="P97:P102" si="56">$D$2/1000</f>
        <v>0.000005</v>
      </c>
      <c r="Q97" s="32">
        <f t="shared" ref="Q97:Q102" si="57">H97</f>
        <v>0.0002582159624</v>
      </c>
      <c r="R97" s="31">
        <f t="shared" ref="R97:R102" si="58">SQRT(((P97*1000/G97)^2)+(($K$3*1000/$E$92)^2))</f>
        <v>0.04546969645</v>
      </c>
      <c r="S97" s="32">
        <f t="shared" ref="S97:S102" si="59">Q97*R97</f>
        <v>0.00001174100143</v>
      </c>
      <c r="T97" s="33">
        <f t="shared" ref="T97:T102" si="60">S97*1000</f>
        <v>0.01174100143</v>
      </c>
      <c r="Z97" s="1"/>
    </row>
    <row r="98">
      <c r="A98" s="1"/>
      <c r="B98" s="1"/>
      <c r="C98" s="4">
        <v>2.0</v>
      </c>
      <c r="D98" s="4">
        <v>0.70092</v>
      </c>
      <c r="E98" s="31">
        <f t="shared" si="46"/>
        <v>6.8760252</v>
      </c>
      <c r="F98" s="22">
        <f t="shared" si="47"/>
        <v>92088759.39</v>
      </c>
      <c r="G98" s="15">
        <v>0.22</v>
      </c>
      <c r="H98" s="32">
        <f t="shared" si="48"/>
        <v>0.0005164319249</v>
      </c>
      <c r="I98" s="31">
        <f t="shared" si="49"/>
        <v>0.5164319249</v>
      </c>
      <c r="J98" s="22">
        <f t="shared" si="50"/>
        <v>178317325010</v>
      </c>
      <c r="K98" s="16">
        <f t="shared" si="51"/>
        <v>0.000981</v>
      </c>
      <c r="L98" s="32">
        <f t="shared" si="52"/>
        <v>0.00000002336790811</v>
      </c>
      <c r="M98" s="31">
        <f t="shared" si="53"/>
        <v>0.3096040358</v>
      </c>
      <c r="N98" s="32">
        <f t="shared" si="54"/>
        <v>28205305.23</v>
      </c>
      <c r="O98" s="33">
        <f t="shared" si="55"/>
        <v>28.20530523</v>
      </c>
      <c r="P98" s="34">
        <f t="shared" si="56"/>
        <v>0.000005</v>
      </c>
      <c r="Q98" s="32">
        <f t="shared" si="57"/>
        <v>0.0005164319249</v>
      </c>
      <c r="R98" s="31">
        <f t="shared" si="58"/>
        <v>0.02275755958</v>
      </c>
      <c r="S98" s="32">
        <f t="shared" si="59"/>
        <v>0.0000117527303</v>
      </c>
      <c r="T98" s="33">
        <f t="shared" si="60"/>
        <v>0.0117527303</v>
      </c>
      <c r="Z98" s="1"/>
    </row>
    <row r="99">
      <c r="A99" s="1"/>
      <c r="B99" s="1"/>
      <c r="C99" s="4">
        <v>3.0</v>
      </c>
      <c r="D99" s="4">
        <v>1.05178</v>
      </c>
      <c r="E99" s="31">
        <f t="shared" si="46"/>
        <v>10.3179618</v>
      </c>
      <c r="F99" s="22">
        <f t="shared" si="47"/>
        <v>138185692.2</v>
      </c>
      <c r="G99" s="15">
        <v>0.32</v>
      </c>
      <c r="H99" s="32">
        <f t="shared" si="48"/>
        <v>0.0007511737089</v>
      </c>
      <c r="I99" s="31">
        <f t="shared" si="49"/>
        <v>0.7511737089</v>
      </c>
      <c r="J99" s="22">
        <f t="shared" si="50"/>
        <v>183959702702</v>
      </c>
      <c r="K99" s="16">
        <f t="shared" si="51"/>
        <v>0.000981</v>
      </c>
      <c r="L99" s="32">
        <f t="shared" si="52"/>
        <v>0.00000002336790811</v>
      </c>
      <c r="M99" s="31">
        <f t="shared" si="53"/>
        <v>0.3096040176</v>
      </c>
      <c r="N99" s="32">
        <f t="shared" si="54"/>
        <v>42324051.51</v>
      </c>
      <c r="O99" s="33">
        <f t="shared" si="55"/>
        <v>42.32405151</v>
      </c>
      <c r="P99" s="34">
        <f t="shared" si="56"/>
        <v>0.000005</v>
      </c>
      <c r="Q99" s="32">
        <f t="shared" si="57"/>
        <v>0.0007511737089</v>
      </c>
      <c r="R99" s="31">
        <f t="shared" si="58"/>
        <v>0.01566902095</v>
      </c>
      <c r="S99" s="32">
        <f t="shared" si="59"/>
        <v>0.00001177015658</v>
      </c>
      <c r="T99" s="33">
        <f t="shared" si="60"/>
        <v>0.01177015658</v>
      </c>
      <c r="Z99" s="1"/>
    </row>
    <row r="100">
      <c r="A100" s="1"/>
      <c r="B100" s="1"/>
      <c r="C100" s="4">
        <v>4.0</v>
      </c>
      <c r="D100" s="4">
        <v>1.40189</v>
      </c>
      <c r="E100" s="31">
        <f t="shared" si="46"/>
        <v>13.7525409</v>
      </c>
      <c r="F100" s="22">
        <f t="shared" si="47"/>
        <v>184184087.9</v>
      </c>
      <c r="G100" s="15">
        <v>0.48</v>
      </c>
      <c r="H100" s="32">
        <f t="shared" si="48"/>
        <v>0.001126760563</v>
      </c>
      <c r="I100" s="31">
        <f t="shared" si="49"/>
        <v>1.126760563</v>
      </c>
      <c r="J100" s="22">
        <f t="shared" si="50"/>
        <v>163463378033</v>
      </c>
      <c r="K100" s="16">
        <f t="shared" si="51"/>
        <v>0.000981</v>
      </c>
      <c r="L100" s="32">
        <f t="shared" si="52"/>
        <v>0.00000002336790811</v>
      </c>
      <c r="M100" s="31">
        <f t="shared" si="53"/>
        <v>0.3096040112</v>
      </c>
      <c r="N100" s="32">
        <f t="shared" si="54"/>
        <v>56412617.99</v>
      </c>
      <c r="O100" s="33">
        <f t="shared" si="55"/>
        <v>56.41261799</v>
      </c>
      <c r="P100" s="34">
        <f t="shared" si="56"/>
        <v>0.000005</v>
      </c>
      <c r="Q100" s="32">
        <f t="shared" si="57"/>
        <v>0.001126760563</v>
      </c>
      <c r="R100" s="31">
        <f t="shared" si="58"/>
        <v>0.01048258256</v>
      </c>
      <c r="S100" s="32">
        <f t="shared" si="59"/>
        <v>0.00001181136063</v>
      </c>
      <c r="T100" s="33">
        <f t="shared" si="60"/>
        <v>0.01181136063</v>
      </c>
      <c r="Z100" s="1"/>
    </row>
    <row r="101">
      <c r="A101" s="1"/>
      <c r="B101" s="1"/>
      <c r="C101" s="4">
        <v>5.0</v>
      </c>
      <c r="D101" s="4">
        <v>1.75175</v>
      </c>
      <c r="E101" s="31">
        <f t="shared" si="46"/>
        <v>17.1846675</v>
      </c>
      <c r="F101" s="22">
        <f t="shared" si="47"/>
        <v>230149638</v>
      </c>
      <c r="G101" s="15">
        <v>0.59</v>
      </c>
      <c r="H101" s="32">
        <f t="shared" si="48"/>
        <v>0.001384976526</v>
      </c>
      <c r="I101" s="31">
        <f t="shared" si="49"/>
        <v>1.384976526</v>
      </c>
      <c r="J101" s="22">
        <f t="shared" si="50"/>
        <v>166175840321</v>
      </c>
      <c r="K101" s="16">
        <f t="shared" si="51"/>
        <v>0.000981</v>
      </c>
      <c r="L101" s="32">
        <f t="shared" si="52"/>
        <v>0.00000002336790811</v>
      </c>
      <c r="M101" s="31">
        <f t="shared" si="53"/>
        <v>0.3096040082</v>
      </c>
      <c r="N101" s="32">
        <f t="shared" si="54"/>
        <v>70491124.57</v>
      </c>
      <c r="O101" s="33">
        <f t="shared" si="55"/>
        <v>70.49112457</v>
      </c>
      <c r="P101" s="34">
        <f t="shared" si="56"/>
        <v>0.000005</v>
      </c>
      <c r="Q101" s="32">
        <f t="shared" si="57"/>
        <v>0.001384976526</v>
      </c>
      <c r="R101" s="31">
        <f t="shared" si="58"/>
        <v>0.00855546817</v>
      </c>
      <c r="S101" s="32">
        <f t="shared" si="59"/>
        <v>0.00001184912258</v>
      </c>
      <c r="T101" s="33">
        <f t="shared" si="60"/>
        <v>0.01184912258</v>
      </c>
      <c r="Z101" s="1"/>
    </row>
    <row r="102">
      <c r="A102" s="1"/>
      <c r="B102" s="1"/>
      <c r="C102" s="4">
        <v>6.0</v>
      </c>
      <c r="D102" s="4">
        <v>1.80183</v>
      </c>
      <c r="E102" s="31">
        <f t="shared" si="46"/>
        <v>17.6759523</v>
      </c>
      <c r="F102" s="22">
        <f t="shared" si="47"/>
        <v>236729283.4</v>
      </c>
      <c r="G102" s="15">
        <v>0.61</v>
      </c>
      <c r="H102" s="32">
        <f t="shared" si="48"/>
        <v>0.001431924883</v>
      </c>
      <c r="I102" s="31">
        <f t="shared" si="49"/>
        <v>1.431924883</v>
      </c>
      <c r="J102" s="22">
        <f t="shared" si="50"/>
        <v>165322417607</v>
      </c>
      <c r="K102" s="16">
        <f t="shared" si="51"/>
        <v>0.000981</v>
      </c>
      <c r="L102" s="32">
        <f t="shared" si="52"/>
        <v>0.00000002336790811</v>
      </c>
      <c r="M102" s="31">
        <f t="shared" si="53"/>
        <v>0.3096040079</v>
      </c>
      <c r="N102" s="32">
        <f t="shared" si="54"/>
        <v>72506363.84</v>
      </c>
      <c r="O102" s="33">
        <f t="shared" si="55"/>
        <v>72.50636384</v>
      </c>
      <c r="P102" s="34">
        <f t="shared" si="56"/>
        <v>0.000005</v>
      </c>
      <c r="Q102" s="32">
        <f t="shared" si="57"/>
        <v>0.001431924883</v>
      </c>
      <c r="R102" s="31">
        <f t="shared" si="58"/>
        <v>0.008280328066</v>
      </c>
      <c r="S102" s="32">
        <f t="shared" si="59"/>
        <v>0.00001185680779</v>
      </c>
      <c r="T102" s="33">
        <f t="shared" si="60"/>
        <v>0.01185680779</v>
      </c>
      <c r="Z102" s="1"/>
    </row>
    <row r="103">
      <c r="A103" s="1"/>
      <c r="B103" s="1"/>
      <c r="C103" s="1"/>
      <c r="D103" s="1"/>
      <c r="E103" s="1"/>
      <c r="F103" s="1"/>
      <c r="G103" s="1"/>
      <c r="H103" s="35" t="s">
        <v>31</v>
      </c>
      <c r="I103" s="36"/>
      <c r="J103" s="1"/>
      <c r="K103" s="1"/>
      <c r="Z103" s="1"/>
    </row>
    <row r="104">
      <c r="A104" s="1"/>
      <c r="B104" s="1"/>
      <c r="H104" s="24" t="s">
        <v>32</v>
      </c>
      <c r="I104" s="36"/>
      <c r="J104" s="1"/>
      <c r="K104" s="1"/>
      <c r="Z104" s="1"/>
    </row>
    <row r="105">
      <c r="A105" s="1"/>
      <c r="B105" s="1"/>
      <c r="C105" s="55" t="s">
        <v>37</v>
      </c>
      <c r="D105" s="56"/>
      <c r="E105" s="56"/>
      <c r="F105" s="56"/>
      <c r="G105" s="3"/>
      <c r="H105" s="2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7" t="s">
        <v>38</v>
      </c>
      <c r="K106" s="56"/>
      <c r="L106" s="56"/>
      <c r="M106" s="3"/>
      <c r="N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5" t="s">
        <v>19</v>
      </c>
      <c r="K107" s="25" t="s">
        <v>20</v>
      </c>
      <c r="L107" s="25" t="s">
        <v>21</v>
      </c>
      <c r="M107" s="25" t="s">
        <v>22</v>
      </c>
      <c r="N107" s="26" t="s">
        <v>23</v>
      </c>
      <c r="O107" s="27" t="s">
        <v>24</v>
      </c>
      <c r="P107" s="3"/>
      <c r="Q107" s="26" t="s">
        <v>25</v>
      </c>
      <c r="R107" s="26" t="s">
        <v>26</v>
      </c>
      <c r="S107" s="28" t="s">
        <v>27</v>
      </c>
      <c r="T107" s="29" t="s">
        <v>28</v>
      </c>
      <c r="U107" s="3"/>
      <c r="V107" s="28" t="s">
        <v>29</v>
      </c>
      <c r="W107" s="30" t="s">
        <v>30</v>
      </c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5">
        <v>0.11</v>
      </c>
      <c r="K108" s="32">
        <f t="shared" ref="K108:K113" si="61">J108/$E$92</f>
        <v>0.0002582159624</v>
      </c>
      <c r="L108" s="31">
        <f t="shared" ref="L108:L113" si="62">K108*1000</f>
        <v>0.2582159624</v>
      </c>
      <c r="M108" s="22">
        <f t="shared" ref="M108:M113" si="63"> (E97/$E$94)/K108</f>
        <v>178551377311</v>
      </c>
      <c r="N108" s="16">
        <f t="shared" ref="N108:N113" si="64">$D$4*$G$2</f>
        <v>0.000981</v>
      </c>
      <c r="O108" s="32">
        <f t="shared" ref="O108:O113" si="65">PI()*2*$E$16*$G$8/($E$8/2)</f>
        <v>0.00000002336790811</v>
      </c>
      <c r="P108" s="31">
        <f t="shared" ref="P108:P113" si="66">SQRT(((N108/O97)^2)+((O108/$E$16)^2))</f>
        <v>0.3096040108</v>
      </c>
      <c r="Q108" s="32">
        <f t="shared" ref="Q108:Q113" si="67">E97*P108/$E$16</f>
        <v>14121162.06</v>
      </c>
      <c r="R108" s="33">
        <f t="shared" ref="R108:R113" si="68">Q108/1000000</f>
        <v>14.12116206</v>
      </c>
      <c r="S108" s="34">
        <f t="shared" ref="S108:S113" si="69">$D$2/1000</f>
        <v>0.000005</v>
      </c>
      <c r="T108" s="32">
        <f t="shared" ref="T108:T113" si="70">K108</f>
        <v>0.0002582159624</v>
      </c>
      <c r="U108" s="31">
        <f t="shared" ref="U108:U113" si="71">SQRT(((S108*1000/J108)^2)+(($K$3*1000/$E$92)^2))</f>
        <v>0.04546969645</v>
      </c>
      <c r="V108" s="32">
        <f t="shared" ref="V108:V113" si="72">T108*U108</f>
        <v>0.00001174100143</v>
      </c>
      <c r="W108" s="33">
        <f t="shared" ref="W108:W113" si="73">V108*1000</f>
        <v>0.01174100143</v>
      </c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5">
        <v>0.22</v>
      </c>
      <c r="K109" s="32">
        <f t="shared" si="61"/>
        <v>0.0005164319249</v>
      </c>
      <c r="L109" s="31">
        <f t="shared" si="62"/>
        <v>0.5164319249</v>
      </c>
      <c r="M109" s="22">
        <f t="shared" si="63"/>
        <v>178317325010</v>
      </c>
      <c r="N109" s="16">
        <f t="shared" si="64"/>
        <v>0.000981</v>
      </c>
      <c r="O109" s="32">
        <f t="shared" si="65"/>
        <v>0.00000002336790811</v>
      </c>
      <c r="P109" s="31">
        <f t="shared" si="66"/>
        <v>0.3096040049</v>
      </c>
      <c r="Q109" s="32">
        <f t="shared" si="67"/>
        <v>28205302.41</v>
      </c>
      <c r="R109" s="33">
        <f t="shared" si="68"/>
        <v>28.20530241</v>
      </c>
      <c r="S109" s="34">
        <f t="shared" si="69"/>
        <v>0.000005</v>
      </c>
      <c r="T109" s="32">
        <f t="shared" si="70"/>
        <v>0.0005164319249</v>
      </c>
      <c r="U109" s="31">
        <f t="shared" si="71"/>
        <v>0.02275755958</v>
      </c>
      <c r="V109" s="32">
        <f t="shared" si="72"/>
        <v>0.0000117527303</v>
      </c>
      <c r="W109" s="33">
        <f t="shared" si="73"/>
        <v>0.0117527303</v>
      </c>
      <c r="X109" s="1"/>
      <c r="Y109" s="1"/>
      <c r="Z109" s="1"/>
    </row>
    <row r="110">
      <c r="A110" s="8" t="s">
        <v>35</v>
      </c>
      <c r="B110" s="1"/>
      <c r="C110" s="37" t="s">
        <v>8</v>
      </c>
      <c r="D110" s="38" t="s">
        <v>9</v>
      </c>
      <c r="E110" s="37" t="s">
        <v>10</v>
      </c>
      <c r="F110" s="37" t="s">
        <v>11</v>
      </c>
      <c r="G110" s="38" t="s">
        <v>12</v>
      </c>
      <c r="H110" s="11"/>
      <c r="I110" s="1"/>
      <c r="J110" s="15">
        <v>0.32</v>
      </c>
      <c r="K110" s="32">
        <f t="shared" si="61"/>
        <v>0.0007511737089</v>
      </c>
      <c r="L110" s="31">
        <f t="shared" si="62"/>
        <v>0.7511737089</v>
      </c>
      <c r="M110" s="22">
        <f t="shared" si="63"/>
        <v>183959702702</v>
      </c>
      <c r="N110" s="16">
        <f t="shared" si="64"/>
        <v>0.000981</v>
      </c>
      <c r="O110" s="32">
        <f t="shared" si="65"/>
        <v>0.00000002336790811</v>
      </c>
      <c r="P110" s="31">
        <f t="shared" si="66"/>
        <v>0.3096040038</v>
      </c>
      <c r="Q110" s="32">
        <f t="shared" si="67"/>
        <v>42324049.63</v>
      </c>
      <c r="R110" s="33">
        <f t="shared" si="68"/>
        <v>42.32404963</v>
      </c>
      <c r="S110" s="34">
        <f t="shared" si="69"/>
        <v>0.000005</v>
      </c>
      <c r="T110" s="32">
        <f t="shared" si="70"/>
        <v>0.0007511737089</v>
      </c>
      <c r="U110" s="31">
        <f t="shared" si="71"/>
        <v>0.01566902095</v>
      </c>
      <c r="V110" s="32">
        <f t="shared" si="72"/>
        <v>0.00001177015658</v>
      </c>
      <c r="W110" s="33">
        <f t="shared" si="73"/>
        <v>0.01177015658</v>
      </c>
      <c r="X110" s="1"/>
      <c r="Y110" s="1"/>
      <c r="Z110" s="1"/>
    </row>
    <row r="111">
      <c r="B111" s="1"/>
      <c r="C111" s="12">
        <v>1.0</v>
      </c>
      <c r="D111" s="39">
        <v>0.53</v>
      </c>
      <c r="E111" s="14">
        <f>AVERAGE(D111:D113)</f>
        <v>0.5333333333</v>
      </c>
      <c r="F111" s="15">
        <f> SQRT((1/6) * ((D111-E111)^2 + (D112-E111)^2 + (D113-E111)^2))</f>
        <v>0.001666666667</v>
      </c>
      <c r="G111" s="16">
        <f> SQRT((F111)^2 + ($D$2)^2)</f>
        <v>0.005270462767</v>
      </c>
      <c r="H111" s="1"/>
      <c r="I111" s="1"/>
      <c r="J111" s="15">
        <v>0.44</v>
      </c>
      <c r="K111" s="32">
        <f t="shared" si="61"/>
        <v>0.00103286385</v>
      </c>
      <c r="L111" s="31">
        <f t="shared" si="62"/>
        <v>1.03286385</v>
      </c>
      <c r="M111" s="22">
        <f t="shared" si="63"/>
        <v>178323685127</v>
      </c>
      <c r="N111" s="16">
        <f t="shared" si="64"/>
        <v>0.000981</v>
      </c>
      <c r="O111" s="32">
        <f t="shared" si="65"/>
        <v>0.00000002336790811</v>
      </c>
      <c r="P111" s="31">
        <f t="shared" si="66"/>
        <v>0.3096040035</v>
      </c>
      <c r="Q111" s="32">
        <f t="shared" si="67"/>
        <v>56412616.58</v>
      </c>
      <c r="R111" s="33">
        <f t="shared" si="68"/>
        <v>56.41261658</v>
      </c>
      <c r="S111" s="34">
        <f t="shared" si="69"/>
        <v>0.000005</v>
      </c>
      <c r="T111" s="32">
        <f t="shared" si="70"/>
        <v>0.00103286385</v>
      </c>
      <c r="U111" s="31">
        <f t="shared" si="71"/>
        <v>0.01142408964</v>
      </c>
      <c r="V111" s="32">
        <f t="shared" si="72"/>
        <v>0.0000117995292</v>
      </c>
      <c r="W111" s="33">
        <f t="shared" si="73"/>
        <v>0.0117995292</v>
      </c>
      <c r="X111" s="1"/>
      <c r="Y111" s="1"/>
      <c r="Z111" s="1"/>
    </row>
    <row r="112">
      <c r="A112" s="1"/>
      <c r="B112" s="1"/>
      <c r="C112" s="12">
        <v>2.0</v>
      </c>
      <c r="D112" s="17">
        <v>0.535</v>
      </c>
      <c r="E112" s="19"/>
      <c r="F112" s="1"/>
      <c r="G112" s="1"/>
      <c r="H112" s="1"/>
      <c r="I112" s="1"/>
      <c r="J112" s="15">
        <v>0.55</v>
      </c>
      <c r="K112" s="32">
        <f t="shared" si="61"/>
        <v>0.001291079812</v>
      </c>
      <c r="L112" s="31">
        <f t="shared" si="62"/>
        <v>1.291079812</v>
      </c>
      <c r="M112" s="22">
        <f t="shared" si="63"/>
        <v>178261355981</v>
      </c>
      <c r="N112" s="16">
        <f t="shared" si="64"/>
        <v>0.000981</v>
      </c>
      <c r="O112" s="32">
        <f t="shared" si="65"/>
        <v>0.00000002336790811</v>
      </c>
      <c r="P112" s="31">
        <f t="shared" si="66"/>
        <v>0.3096040033</v>
      </c>
      <c r="Q112" s="32">
        <f t="shared" si="67"/>
        <v>70491123.44</v>
      </c>
      <c r="R112" s="33">
        <f t="shared" si="68"/>
        <v>70.49112344</v>
      </c>
      <c r="S112" s="34">
        <f t="shared" si="69"/>
        <v>0.000005</v>
      </c>
      <c r="T112" s="32">
        <f t="shared" si="70"/>
        <v>0.001291079812</v>
      </c>
      <c r="U112" s="31">
        <f t="shared" si="71"/>
        <v>0.00916636355</v>
      </c>
      <c r="V112" s="32">
        <f t="shared" si="72"/>
        <v>0.00001183450693</v>
      </c>
      <c r="W112" s="33">
        <f t="shared" si="73"/>
        <v>0.01183450693</v>
      </c>
      <c r="X112" s="1"/>
      <c r="Y112" s="1"/>
      <c r="Z112" s="1"/>
    </row>
    <row r="113">
      <c r="A113" s="1"/>
      <c r="B113" s="1"/>
      <c r="C113" s="12">
        <v>3.0</v>
      </c>
      <c r="D113" s="17">
        <v>0.535</v>
      </c>
      <c r="E113" s="19"/>
      <c r="I113" s="1"/>
      <c r="J113" s="15">
        <v>0.56</v>
      </c>
      <c r="K113" s="32">
        <f t="shared" si="61"/>
        <v>0.001314553991</v>
      </c>
      <c r="L113" s="31">
        <f t="shared" si="62"/>
        <v>1.314553991</v>
      </c>
      <c r="M113" s="22">
        <f t="shared" si="63"/>
        <v>180083347750</v>
      </c>
      <c r="N113" s="16">
        <f t="shared" si="64"/>
        <v>0.000981</v>
      </c>
      <c r="O113" s="32">
        <f t="shared" si="65"/>
        <v>0.00000002336790811</v>
      </c>
      <c r="P113" s="31">
        <f t="shared" si="66"/>
        <v>0.3096040033</v>
      </c>
      <c r="Q113" s="32">
        <f t="shared" si="67"/>
        <v>72506362.75</v>
      </c>
      <c r="R113" s="33">
        <f t="shared" si="68"/>
        <v>72.50636275</v>
      </c>
      <c r="S113" s="34">
        <f t="shared" si="69"/>
        <v>0.000005</v>
      </c>
      <c r="T113" s="32">
        <f t="shared" si="70"/>
        <v>0.001314553991</v>
      </c>
      <c r="U113" s="31">
        <f t="shared" si="71"/>
        <v>0.009005386187</v>
      </c>
      <c r="V113" s="32">
        <f t="shared" si="72"/>
        <v>0.00001183806635</v>
      </c>
      <c r="W113" s="33">
        <f t="shared" si="73"/>
        <v>0.01183806635</v>
      </c>
      <c r="X113" s="1"/>
      <c r="Y113" s="1"/>
      <c r="Z113" s="1"/>
    </row>
    <row r="114">
      <c r="A114" s="1"/>
      <c r="B114" s="1"/>
      <c r="I114" s="1"/>
      <c r="J114" s="1"/>
      <c r="K114" s="1"/>
      <c r="L114" s="1"/>
      <c r="M114" s="1"/>
      <c r="N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I115" s="1"/>
      <c r="J115" s="55" t="s">
        <v>39</v>
      </c>
      <c r="K115" s="56"/>
      <c r="L115" s="56"/>
      <c r="M115" s="56"/>
      <c r="N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0" t="s">
        <v>13</v>
      </c>
      <c r="D118" s="3"/>
      <c r="E118" s="4">
        <v>384.0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0" t="s">
        <v>9</v>
      </c>
      <c r="D119" s="3"/>
      <c r="E119" s="16">
        <f>E111</f>
        <v>0.5333333333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3" t="s">
        <v>14</v>
      </c>
      <c r="D120" s="3"/>
      <c r="E120" s="22">
        <f> (PI() * ((E119/2000)^2))</f>
        <v>0.0000002234021443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G121" s="17" t="s">
        <v>36</v>
      </c>
      <c r="H121" s="56"/>
      <c r="I121" s="56"/>
      <c r="J121" s="3"/>
      <c r="K121" s="1"/>
      <c r="P121" s="1"/>
      <c r="Z121" s="1"/>
    </row>
    <row r="122">
      <c r="A122" s="1"/>
      <c r="B122" s="1"/>
      <c r="C122" s="37" t="s">
        <v>15</v>
      </c>
      <c r="D122" s="37" t="s">
        <v>16</v>
      </c>
      <c r="E122" s="44" t="s">
        <v>17</v>
      </c>
      <c r="F122" s="44" t="s">
        <v>18</v>
      </c>
      <c r="G122" s="44" t="s">
        <v>19</v>
      </c>
      <c r="H122" s="44" t="s">
        <v>20</v>
      </c>
      <c r="I122" s="44" t="s">
        <v>21</v>
      </c>
      <c r="J122" s="44" t="s">
        <v>22</v>
      </c>
      <c r="K122" s="26" t="s">
        <v>23</v>
      </c>
      <c r="L122" s="27" t="s">
        <v>24</v>
      </c>
      <c r="M122" s="3"/>
      <c r="N122" s="26" t="s">
        <v>25</v>
      </c>
      <c r="O122" s="26" t="s">
        <v>26</v>
      </c>
      <c r="P122" s="28" t="s">
        <v>27</v>
      </c>
      <c r="Q122" s="29" t="s">
        <v>28</v>
      </c>
      <c r="R122" s="3"/>
      <c r="S122" s="28" t="s">
        <v>29</v>
      </c>
      <c r="T122" s="30" t="s">
        <v>30</v>
      </c>
      <c r="Z122" s="1"/>
    </row>
    <row r="123">
      <c r="A123" s="1"/>
      <c r="B123" s="1"/>
      <c r="C123" s="4">
        <v>1.0</v>
      </c>
      <c r="D123" s="4">
        <v>0.35092</v>
      </c>
      <c r="E123" s="31">
        <f t="shared" ref="E123:E128" si="74">D123*$G$2</f>
        <v>3.4425252</v>
      </c>
      <c r="F123" s="22">
        <f t="shared" ref="F123:F128" si="75">(E123/$E$120)</f>
        <v>15409544.13</v>
      </c>
      <c r="G123" s="15">
        <v>0.05</v>
      </c>
      <c r="H123" s="32">
        <f t="shared" ref="H123:H128" si="76">G123/$E$92</f>
        <v>0.000117370892</v>
      </c>
      <c r="I123" s="31">
        <f t="shared" ref="I123:I128" si="77">H123*1000</f>
        <v>0.117370892</v>
      </c>
      <c r="J123" s="22">
        <f t="shared" ref="J123:J128" si="78"> (E123/$E$120)/H123</f>
        <v>131289315963</v>
      </c>
      <c r="K123" s="16">
        <f t="shared" ref="K123:K128" si="79">$D$4*$G$2</f>
        <v>0.000981</v>
      </c>
      <c r="L123" s="32">
        <f t="shared" ref="L123:L128" si="80">PI()*2*$E$16*$G$8/($E$8/2)</f>
        <v>0.00000002336790811</v>
      </c>
      <c r="M123" s="31">
        <f t="shared" ref="M123:M128" si="81">SQRT(((K123/E123)^2)+((L123/$E$16)^2))</f>
        <v>0.3096041341</v>
      </c>
      <c r="N123" s="32">
        <f t="shared" ref="N123:N128" si="82">E123*M123/$E$16</f>
        <v>14121167.68</v>
      </c>
      <c r="O123" s="33">
        <f t="shared" ref="O123:O128" si="83">N123/1000000</f>
        <v>14.12116768</v>
      </c>
      <c r="P123" s="34">
        <f t="shared" ref="P123:P128" si="84">$D$2/1000</f>
        <v>0.000005</v>
      </c>
      <c r="Q123" s="32">
        <f t="shared" ref="Q123:Q128" si="85">H123</f>
        <v>0.000117370892</v>
      </c>
      <c r="R123" s="31">
        <f t="shared" ref="R123:R128" si="86">SQRT(((P123*1000/G123)^2)+(($K$3*1000/$E$118)^2))</f>
        <v>0.1000084767</v>
      </c>
      <c r="S123" s="32">
        <f t="shared" ref="S123:S128" si="87">Q123*R123</f>
        <v>0.00001173808413</v>
      </c>
      <c r="T123" s="33">
        <f t="shared" ref="T123:T128" si="88">S123*1000</f>
        <v>0.01173808413</v>
      </c>
      <c r="Z123" s="1"/>
    </row>
    <row r="124">
      <c r="A124" s="1"/>
      <c r="B124" s="1"/>
      <c r="C124" s="4">
        <v>2.0</v>
      </c>
      <c r="D124" s="4">
        <v>0.70092</v>
      </c>
      <c r="E124" s="31">
        <f t="shared" si="74"/>
        <v>6.8760252</v>
      </c>
      <c r="F124" s="22">
        <f t="shared" si="75"/>
        <v>30778689.36</v>
      </c>
      <c r="G124" s="15">
        <v>0.13</v>
      </c>
      <c r="H124" s="32">
        <f t="shared" si="76"/>
        <v>0.0003051643192</v>
      </c>
      <c r="I124" s="31">
        <f t="shared" si="77"/>
        <v>0.3051643192</v>
      </c>
      <c r="J124" s="22">
        <f t="shared" si="78"/>
        <v>100859397435</v>
      </c>
      <c r="K124" s="16">
        <f t="shared" si="79"/>
        <v>0.000981</v>
      </c>
      <c r="L124" s="32">
        <f t="shared" si="80"/>
        <v>0.00000002336790811</v>
      </c>
      <c r="M124" s="31">
        <f t="shared" si="81"/>
        <v>0.3096040358</v>
      </c>
      <c r="N124" s="32">
        <f t="shared" si="82"/>
        <v>28205305.23</v>
      </c>
      <c r="O124" s="33">
        <f t="shared" si="83"/>
        <v>28.20530523</v>
      </c>
      <c r="P124" s="34">
        <f t="shared" si="84"/>
        <v>0.000005</v>
      </c>
      <c r="Q124" s="32">
        <f t="shared" si="85"/>
        <v>0.0003051643192</v>
      </c>
      <c r="R124" s="31">
        <f t="shared" si="86"/>
        <v>0.03848357262</v>
      </c>
      <c r="S124" s="32">
        <f t="shared" si="87"/>
        <v>0.00001174381324</v>
      </c>
      <c r="T124" s="33">
        <f t="shared" si="88"/>
        <v>0.01174381324</v>
      </c>
      <c r="Z124" s="1"/>
    </row>
    <row r="125">
      <c r="A125" s="1"/>
      <c r="B125" s="1"/>
      <c r="C125" s="4">
        <v>3.0</v>
      </c>
      <c r="D125" s="4">
        <v>1.05178</v>
      </c>
      <c r="E125" s="31">
        <f t="shared" si="74"/>
        <v>10.3179618</v>
      </c>
      <c r="F125" s="22">
        <f t="shared" si="75"/>
        <v>46185598.77</v>
      </c>
      <c r="G125" s="15">
        <v>0.2</v>
      </c>
      <c r="H125" s="32">
        <f t="shared" si="76"/>
        <v>0.0004694835681</v>
      </c>
      <c r="I125" s="31">
        <f t="shared" si="77"/>
        <v>0.4694835681</v>
      </c>
      <c r="J125" s="22">
        <f t="shared" si="78"/>
        <v>98375325390</v>
      </c>
      <c r="K125" s="16">
        <f t="shared" si="79"/>
        <v>0.000981</v>
      </c>
      <c r="L125" s="32">
        <f t="shared" si="80"/>
        <v>0.00000002336790811</v>
      </c>
      <c r="M125" s="31">
        <f t="shared" si="81"/>
        <v>0.3096040176</v>
      </c>
      <c r="N125" s="32">
        <f t="shared" si="82"/>
        <v>42324051.51</v>
      </c>
      <c r="O125" s="33">
        <f t="shared" si="83"/>
        <v>42.32405151</v>
      </c>
      <c r="P125" s="34">
        <f t="shared" si="84"/>
        <v>0.000005</v>
      </c>
      <c r="Q125" s="32">
        <f t="shared" si="85"/>
        <v>0.0004694835681</v>
      </c>
      <c r="R125" s="31">
        <f t="shared" si="86"/>
        <v>0.02503388546</v>
      </c>
      <c r="S125" s="32">
        <f t="shared" si="87"/>
        <v>0.00001175299787</v>
      </c>
      <c r="T125" s="33">
        <f t="shared" si="88"/>
        <v>0.01175299787</v>
      </c>
      <c r="Z125" s="1"/>
    </row>
    <row r="126">
      <c r="A126" s="1"/>
      <c r="B126" s="1"/>
      <c r="C126" s="4">
        <v>4.0</v>
      </c>
      <c r="D126" s="4">
        <v>1.40189</v>
      </c>
      <c r="E126" s="31">
        <f t="shared" si="74"/>
        <v>13.7525409</v>
      </c>
      <c r="F126" s="22">
        <f t="shared" si="75"/>
        <v>61559574.31</v>
      </c>
      <c r="G126" s="15">
        <v>0.28</v>
      </c>
      <c r="H126" s="32">
        <f t="shared" si="76"/>
        <v>0.0006572769953</v>
      </c>
      <c r="I126" s="31">
        <f t="shared" si="77"/>
        <v>0.6572769953</v>
      </c>
      <c r="J126" s="22">
        <f t="shared" si="78"/>
        <v>93658495198</v>
      </c>
      <c r="K126" s="16">
        <f t="shared" si="79"/>
        <v>0.000981</v>
      </c>
      <c r="L126" s="32">
        <f t="shared" si="80"/>
        <v>0.00000002336790811</v>
      </c>
      <c r="M126" s="31">
        <f t="shared" si="81"/>
        <v>0.3096040112</v>
      </c>
      <c r="N126" s="32">
        <f t="shared" si="82"/>
        <v>56412617.99</v>
      </c>
      <c r="O126" s="33">
        <f t="shared" si="83"/>
        <v>56.41261799</v>
      </c>
      <c r="P126" s="34">
        <f t="shared" si="84"/>
        <v>0.000005</v>
      </c>
      <c r="Q126" s="32">
        <f t="shared" si="85"/>
        <v>0.0006572769953</v>
      </c>
      <c r="R126" s="31">
        <f t="shared" si="86"/>
        <v>0.01790455171</v>
      </c>
      <c r="S126" s="32">
        <f t="shared" si="87"/>
        <v>0.00001176824995</v>
      </c>
      <c r="T126" s="33">
        <f t="shared" si="88"/>
        <v>0.01176824995</v>
      </c>
      <c r="Z126" s="1"/>
    </row>
    <row r="127">
      <c r="A127" s="1"/>
      <c r="B127" s="1"/>
      <c r="C127" s="4">
        <v>5.0</v>
      </c>
      <c r="D127" s="4">
        <v>1.75175</v>
      </c>
      <c r="E127" s="31">
        <f t="shared" si="74"/>
        <v>17.1846675</v>
      </c>
      <c r="F127" s="22">
        <f t="shared" si="75"/>
        <v>76922571.88</v>
      </c>
      <c r="G127" s="15">
        <v>0.35</v>
      </c>
      <c r="H127" s="32">
        <f t="shared" si="76"/>
        <v>0.0008215962441</v>
      </c>
      <c r="I127" s="31">
        <f t="shared" si="77"/>
        <v>0.8215962441</v>
      </c>
      <c r="J127" s="22">
        <f t="shared" si="78"/>
        <v>93625758919</v>
      </c>
      <c r="K127" s="16">
        <f t="shared" si="79"/>
        <v>0.000981</v>
      </c>
      <c r="L127" s="32">
        <f t="shared" si="80"/>
        <v>0.00000002336790811</v>
      </c>
      <c r="M127" s="31">
        <f t="shared" si="81"/>
        <v>0.3096040082</v>
      </c>
      <c r="N127" s="32">
        <f t="shared" si="82"/>
        <v>70491124.57</v>
      </c>
      <c r="O127" s="33">
        <f t="shared" si="83"/>
        <v>70.49112457</v>
      </c>
      <c r="P127" s="34">
        <f t="shared" si="84"/>
        <v>0.000005</v>
      </c>
      <c r="Q127" s="32">
        <f t="shared" si="85"/>
        <v>0.0008215962441</v>
      </c>
      <c r="R127" s="31">
        <f t="shared" si="86"/>
        <v>0.01434493129</v>
      </c>
      <c r="S127" s="32">
        <f t="shared" si="87"/>
        <v>0.00001178574167</v>
      </c>
      <c r="T127" s="33">
        <f t="shared" si="88"/>
        <v>0.01178574167</v>
      </c>
      <c r="W127" s="57" t="s">
        <v>40</v>
      </c>
      <c r="Z127" s="1"/>
    </row>
    <row r="128">
      <c r="A128" s="1"/>
      <c r="B128" s="1"/>
      <c r="C128" s="4">
        <v>6.0</v>
      </c>
      <c r="D128" s="4">
        <v>1.80183</v>
      </c>
      <c r="E128" s="31">
        <f t="shared" si="74"/>
        <v>17.6759523</v>
      </c>
      <c r="F128" s="22">
        <f t="shared" si="75"/>
        <v>79121677.01</v>
      </c>
      <c r="G128" s="15">
        <v>0.36</v>
      </c>
      <c r="H128" s="32">
        <f t="shared" si="76"/>
        <v>0.0008450704225</v>
      </c>
      <c r="I128" s="31">
        <f t="shared" si="77"/>
        <v>0.8450704225</v>
      </c>
      <c r="J128" s="22">
        <f t="shared" si="78"/>
        <v>93627317789</v>
      </c>
      <c r="K128" s="16">
        <f t="shared" si="79"/>
        <v>0.000981</v>
      </c>
      <c r="L128" s="32">
        <f t="shared" si="80"/>
        <v>0.00000002336790811</v>
      </c>
      <c r="M128" s="31">
        <f t="shared" si="81"/>
        <v>0.3096040079</v>
      </c>
      <c r="N128" s="32">
        <f t="shared" si="82"/>
        <v>72506363.84</v>
      </c>
      <c r="O128" s="33">
        <f t="shared" si="83"/>
        <v>72.50636384</v>
      </c>
      <c r="P128" s="34">
        <f t="shared" si="84"/>
        <v>0.000005</v>
      </c>
      <c r="Q128" s="32">
        <f t="shared" si="85"/>
        <v>0.0008450704225</v>
      </c>
      <c r="R128" s="31">
        <f t="shared" si="86"/>
        <v>0.01394979052</v>
      </c>
      <c r="S128" s="32">
        <f t="shared" si="87"/>
        <v>0.00001178855537</v>
      </c>
      <c r="T128" s="33">
        <f t="shared" si="88"/>
        <v>0.01178855537</v>
      </c>
      <c r="Z128" s="1"/>
    </row>
    <row r="129">
      <c r="A129" s="1"/>
      <c r="B129" s="1"/>
      <c r="C129" s="1"/>
      <c r="D129" s="1"/>
      <c r="E129" s="1"/>
      <c r="F129" s="1"/>
      <c r="G129" s="1"/>
      <c r="H129" s="35" t="s">
        <v>31</v>
      </c>
      <c r="I129" s="3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H130" s="24" t="s">
        <v>41</v>
      </c>
      <c r="I130" s="36"/>
      <c r="J130" s="1"/>
      <c r="K130" s="17" t="s">
        <v>38</v>
      </c>
      <c r="L130" s="56"/>
      <c r="M130" s="56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" t="s">
        <v>19</v>
      </c>
      <c r="L131" s="44" t="s">
        <v>20</v>
      </c>
      <c r="M131" s="44" t="s">
        <v>21</v>
      </c>
      <c r="N131" s="44" t="s">
        <v>22</v>
      </c>
      <c r="O131" s="26" t="s">
        <v>23</v>
      </c>
      <c r="P131" s="27" t="s">
        <v>24</v>
      </c>
      <c r="Q131" s="3"/>
      <c r="R131" s="26" t="s">
        <v>25</v>
      </c>
      <c r="S131" s="26" t="s">
        <v>26</v>
      </c>
      <c r="T131" s="28" t="s">
        <v>27</v>
      </c>
      <c r="U131" s="29" t="s">
        <v>28</v>
      </c>
      <c r="V131" s="3"/>
      <c r="W131" s="28" t="s">
        <v>29</v>
      </c>
      <c r="X131" s="30" t="s">
        <v>30</v>
      </c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5">
        <v>0.07</v>
      </c>
      <c r="L132" s="32">
        <f t="shared" ref="L132:L137" si="89">K132/$E$92</f>
        <v>0.0001643192488</v>
      </c>
      <c r="M132" s="31">
        <f t="shared" ref="M132:M137" si="90">L132*1000</f>
        <v>0.1643192488</v>
      </c>
      <c r="N132" s="22">
        <f t="shared" ref="N132:N137" si="91"> (E123/$E$120)/L132</f>
        <v>93778082831</v>
      </c>
      <c r="O132" s="16">
        <f t="shared" ref="O132:O137" si="92">$D$4*$G$2</f>
        <v>0.000981</v>
      </c>
      <c r="P132" s="32">
        <f t="shared" ref="P132:P137" si="93">PI()*2*$E$16*$G$8/($E$8/2)</f>
        <v>0.00000002336790811</v>
      </c>
      <c r="Q132" s="31">
        <f t="shared" ref="Q132:Q137" si="94">SQRT(((O132/O123)^2)+((P132/$E$16)^2))</f>
        <v>0.3096040108</v>
      </c>
      <c r="R132" s="32">
        <f t="shared" ref="R132:R137" si="95">E123*Q132/$E$16</f>
        <v>14121162.06</v>
      </c>
      <c r="S132" s="33">
        <f t="shared" ref="S132:S137" si="96">R132/1000000</f>
        <v>14.12116206</v>
      </c>
      <c r="T132" s="34">
        <f t="shared" ref="T132:T137" si="97">$D$2/1000</f>
        <v>0.000005</v>
      </c>
      <c r="U132" s="32">
        <f t="shared" ref="U132:U137" si="98">L132</f>
        <v>0.0001643192488</v>
      </c>
      <c r="V132" s="31">
        <f t="shared" ref="V132:V137" si="99">SQRT(((T132*1000/K132)^2)+(($K$3*1000/$E$118)^2))</f>
        <v>0.07144043839</v>
      </c>
      <c r="W132" s="32">
        <f t="shared" ref="W132:W137" si="100">U132*V132</f>
        <v>0.00001173903917</v>
      </c>
      <c r="X132" s="33">
        <f t="shared" ref="X132:X137" si="101">W132*1000</f>
        <v>0.01173903917</v>
      </c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5">
        <v>0.14</v>
      </c>
      <c r="L133" s="32">
        <f t="shared" si="89"/>
        <v>0.0003286384977</v>
      </c>
      <c r="M133" s="31">
        <f t="shared" si="90"/>
        <v>0.3286384977</v>
      </c>
      <c r="N133" s="22">
        <f t="shared" si="91"/>
        <v>93655154762</v>
      </c>
      <c r="O133" s="16">
        <f t="shared" si="92"/>
        <v>0.000981</v>
      </c>
      <c r="P133" s="32">
        <f t="shared" si="93"/>
        <v>0.00000002336790811</v>
      </c>
      <c r="Q133" s="31">
        <f t="shared" si="94"/>
        <v>0.3096040049</v>
      </c>
      <c r="R133" s="32">
        <f t="shared" si="95"/>
        <v>28205302.41</v>
      </c>
      <c r="S133" s="33">
        <f t="shared" si="96"/>
        <v>28.20530241</v>
      </c>
      <c r="T133" s="34">
        <f t="shared" si="97"/>
        <v>0.000005</v>
      </c>
      <c r="U133" s="32">
        <f t="shared" si="98"/>
        <v>0.0003286384977</v>
      </c>
      <c r="V133" s="31">
        <f t="shared" si="99"/>
        <v>0.03573801373</v>
      </c>
      <c r="W133" s="32">
        <f t="shared" si="100"/>
        <v>0.00001174488714</v>
      </c>
      <c r="X133" s="33">
        <f t="shared" si="101"/>
        <v>0.01174488714</v>
      </c>
      <c r="Y133" s="1"/>
      <c r="Z133" s="1"/>
    </row>
    <row r="134">
      <c r="A134" s="1"/>
      <c r="B134" s="1"/>
      <c r="C134" s="1"/>
      <c r="D134" s="1"/>
      <c r="E134" s="1"/>
      <c r="F134" s="1"/>
      <c r="G134" s="58"/>
      <c r="H134" s="1"/>
      <c r="I134" s="1"/>
      <c r="J134" s="1"/>
      <c r="K134" s="15">
        <v>0.21</v>
      </c>
      <c r="L134" s="32">
        <f t="shared" si="89"/>
        <v>0.0004929577465</v>
      </c>
      <c r="M134" s="31">
        <f t="shared" si="90"/>
        <v>0.4929577465</v>
      </c>
      <c r="N134" s="22">
        <f t="shared" si="91"/>
        <v>93690786086</v>
      </c>
      <c r="O134" s="16">
        <f t="shared" si="92"/>
        <v>0.000981</v>
      </c>
      <c r="P134" s="32">
        <f t="shared" si="93"/>
        <v>0.00000002336790811</v>
      </c>
      <c r="Q134" s="31">
        <f t="shared" si="94"/>
        <v>0.3096040038</v>
      </c>
      <c r="R134" s="32">
        <f t="shared" si="95"/>
        <v>42324049.63</v>
      </c>
      <c r="S134" s="33">
        <f t="shared" si="96"/>
        <v>42.32404963</v>
      </c>
      <c r="T134" s="34">
        <f t="shared" si="97"/>
        <v>0.000005</v>
      </c>
      <c r="U134" s="32">
        <f t="shared" si="98"/>
        <v>0.0004929577465</v>
      </c>
      <c r="V134" s="31">
        <f t="shared" si="99"/>
        <v>0.02384510107</v>
      </c>
      <c r="W134" s="32">
        <f t="shared" si="100"/>
        <v>0.00001175462729</v>
      </c>
      <c r="X134" s="33">
        <f t="shared" si="101"/>
        <v>0.01175462729</v>
      </c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5">
        <v>0.28</v>
      </c>
      <c r="L135" s="32">
        <f t="shared" si="89"/>
        <v>0.0006572769953</v>
      </c>
      <c r="M135" s="31">
        <f t="shared" si="90"/>
        <v>0.6572769953</v>
      </c>
      <c r="N135" s="22">
        <f t="shared" si="91"/>
        <v>93658495198</v>
      </c>
      <c r="O135" s="16">
        <f t="shared" si="92"/>
        <v>0.000981</v>
      </c>
      <c r="P135" s="32">
        <f t="shared" si="93"/>
        <v>0.00000002336790811</v>
      </c>
      <c r="Q135" s="31">
        <f t="shared" si="94"/>
        <v>0.3096040035</v>
      </c>
      <c r="R135" s="32">
        <f t="shared" si="95"/>
        <v>56412616.58</v>
      </c>
      <c r="S135" s="33">
        <f t="shared" si="96"/>
        <v>56.41261658</v>
      </c>
      <c r="T135" s="34">
        <f t="shared" si="97"/>
        <v>0.000005</v>
      </c>
      <c r="U135" s="32">
        <f t="shared" si="98"/>
        <v>0.0006572769953</v>
      </c>
      <c r="V135" s="31">
        <f t="shared" si="99"/>
        <v>0.01790455171</v>
      </c>
      <c r="W135" s="32">
        <f t="shared" si="100"/>
        <v>0.00001176824995</v>
      </c>
      <c r="X135" s="33">
        <f t="shared" si="101"/>
        <v>0.01176824995</v>
      </c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5">
        <v>0.36</v>
      </c>
      <c r="L136" s="32">
        <f t="shared" si="89"/>
        <v>0.0008450704225</v>
      </c>
      <c r="M136" s="31">
        <f t="shared" si="90"/>
        <v>0.8450704225</v>
      </c>
      <c r="N136" s="22">
        <f t="shared" si="91"/>
        <v>91025043393</v>
      </c>
      <c r="O136" s="16">
        <f t="shared" si="92"/>
        <v>0.000981</v>
      </c>
      <c r="P136" s="32">
        <f t="shared" si="93"/>
        <v>0.00000002336790811</v>
      </c>
      <c r="Q136" s="31">
        <f t="shared" si="94"/>
        <v>0.3096040033</v>
      </c>
      <c r="R136" s="32">
        <f t="shared" si="95"/>
        <v>70491123.44</v>
      </c>
      <c r="S136" s="33">
        <f t="shared" si="96"/>
        <v>70.49112344</v>
      </c>
      <c r="T136" s="34">
        <f t="shared" si="97"/>
        <v>0.000005</v>
      </c>
      <c r="U136" s="32">
        <f t="shared" si="98"/>
        <v>0.0008450704225</v>
      </c>
      <c r="V136" s="31">
        <f t="shared" si="99"/>
        <v>0.01394979052</v>
      </c>
      <c r="W136" s="32">
        <f t="shared" si="100"/>
        <v>0.00001178855537</v>
      </c>
      <c r="X136" s="33">
        <f t="shared" si="101"/>
        <v>0.01178855537</v>
      </c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5">
        <v>0.37</v>
      </c>
      <c r="L137" s="32">
        <f t="shared" si="89"/>
        <v>0.0008685446009</v>
      </c>
      <c r="M137" s="31">
        <f t="shared" si="90"/>
        <v>0.8685446009</v>
      </c>
      <c r="N137" s="22">
        <f t="shared" si="91"/>
        <v>91096849741</v>
      </c>
      <c r="O137" s="16">
        <f t="shared" si="92"/>
        <v>0.000981</v>
      </c>
      <c r="P137" s="32">
        <f t="shared" si="93"/>
        <v>0.00000002336790811</v>
      </c>
      <c r="Q137" s="31">
        <f t="shared" si="94"/>
        <v>0.3096040033</v>
      </c>
      <c r="R137" s="32">
        <f t="shared" si="95"/>
        <v>72506362.75</v>
      </c>
      <c r="S137" s="33">
        <f t="shared" si="96"/>
        <v>72.50636275</v>
      </c>
      <c r="T137" s="34">
        <f t="shared" si="97"/>
        <v>0.000005</v>
      </c>
      <c r="U137" s="32">
        <f t="shared" si="98"/>
        <v>0.0008685446009</v>
      </c>
      <c r="V137" s="31">
        <f t="shared" si="99"/>
        <v>0.01357609916</v>
      </c>
      <c r="W137" s="32">
        <f t="shared" si="100"/>
        <v>0.00001179144763</v>
      </c>
      <c r="X137" s="33">
        <f t="shared" si="101"/>
        <v>0.01179144763</v>
      </c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8">
    <mergeCell ref="C14:D14"/>
    <mergeCell ref="C15:D15"/>
    <mergeCell ref="C16:D16"/>
    <mergeCell ref="L18:M18"/>
    <mergeCell ref="Q18:R18"/>
    <mergeCell ref="B2:C2"/>
    <mergeCell ref="I2:J2"/>
    <mergeCell ref="B3:C3"/>
    <mergeCell ref="F3:F4"/>
    <mergeCell ref="I3:J3"/>
    <mergeCell ref="B4:C4"/>
    <mergeCell ref="A6:A7"/>
    <mergeCell ref="A30:A31"/>
    <mergeCell ref="C37:D37"/>
    <mergeCell ref="C38:D38"/>
    <mergeCell ref="C39:D39"/>
    <mergeCell ref="L41:M41"/>
    <mergeCell ref="Q41:R41"/>
    <mergeCell ref="A53:A54"/>
    <mergeCell ref="C61:D61"/>
    <mergeCell ref="C62:D62"/>
    <mergeCell ref="C63:D63"/>
    <mergeCell ref="L65:M65"/>
    <mergeCell ref="Q65:R65"/>
    <mergeCell ref="G72:H72"/>
    <mergeCell ref="G73:H73"/>
    <mergeCell ref="A84:A85"/>
    <mergeCell ref="C92:D92"/>
    <mergeCell ref="C93:D93"/>
    <mergeCell ref="C94:D94"/>
    <mergeCell ref="G95:J95"/>
    <mergeCell ref="L96:M96"/>
    <mergeCell ref="Q96:R96"/>
    <mergeCell ref="C119:D119"/>
    <mergeCell ref="C120:D120"/>
    <mergeCell ref="G121:J121"/>
    <mergeCell ref="L122:M122"/>
    <mergeCell ref="Q122:R122"/>
    <mergeCell ref="K130:N130"/>
    <mergeCell ref="P131:Q131"/>
    <mergeCell ref="U131:V131"/>
    <mergeCell ref="C105:G105"/>
    <mergeCell ref="J106:M106"/>
    <mergeCell ref="O107:P107"/>
    <mergeCell ref="T107:U107"/>
    <mergeCell ref="A110:A111"/>
    <mergeCell ref="J115:N115"/>
    <mergeCell ref="C118:D1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42</v>
      </c>
      <c r="B1" s="25" t="s">
        <v>43</v>
      </c>
      <c r="C1" s="23"/>
      <c r="D1" s="59" t="s">
        <v>44</v>
      </c>
      <c r="E1" s="59" t="s">
        <v>45</v>
      </c>
      <c r="G1" s="59" t="s">
        <v>46</v>
      </c>
      <c r="H1" s="59" t="s">
        <v>47</v>
      </c>
      <c r="J1" s="59" t="s">
        <v>48</v>
      </c>
      <c r="K1" s="59" t="s">
        <v>49</v>
      </c>
      <c r="M1" s="57" t="s">
        <v>50</v>
      </c>
      <c r="N1" s="57" t="s">
        <v>51</v>
      </c>
      <c r="P1" s="57" t="s">
        <v>52</v>
      </c>
      <c r="Q1" s="57" t="s">
        <v>53</v>
      </c>
      <c r="S1" s="57" t="s">
        <v>54</v>
      </c>
      <c r="T1" s="57" t="s">
        <v>55</v>
      </c>
    </row>
    <row r="2">
      <c r="A2" s="60">
        <f>45610397.6939368/1000000</f>
        <v>45.61039769</v>
      </c>
      <c r="B2" s="33">
        <v>0.28368794326241137</v>
      </c>
      <c r="C2" s="61"/>
      <c r="D2" s="62">
        <f>45145750.12129/1000000</f>
        <v>45.14575012</v>
      </c>
      <c r="E2" s="62">
        <v>0.3073286052009456</v>
      </c>
      <c r="F2" s="61"/>
      <c r="G2" s="62">
        <v>46.10481573760225</v>
      </c>
      <c r="H2" s="62">
        <v>0.2582159624413145</v>
      </c>
      <c r="I2" s="61"/>
      <c r="J2" s="62">
        <v>46.10481573760225</v>
      </c>
      <c r="K2" s="62">
        <v>0.2582159624413145</v>
      </c>
      <c r="L2" s="61"/>
      <c r="M2" s="61">
        <v>15.60398440152128</v>
      </c>
      <c r="N2" s="61">
        <v>0.14184397163120568</v>
      </c>
      <c r="O2" s="61"/>
      <c r="P2" s="63">
        <v>15.40954412714294</v>
      </c>
      <c r="Q2" s="61">
        <v>0.11737089201877936</v>
      </c>
      <c r="R2" s="61"/>
      <c r="S2" s="61">
        <v>15.40954412714294</v>
      </c>
      <c r="T2" s="61">
        <v>0.1643192488262911</v>
      </c>
    </row>
    <row r="3">
      <c r="A3" s="33">
        <f>91101219.5133768/1000000</f>
        <v>91.10121951</v>
      </c>
      <c r="B3" s="33">
        <v>0.5319148936170213</v>
      </c>
      <c r="C3" s="61"/>
      <c r="D3" s="62">
        <f>90161626.9689962/1000000</f>
        <v>90.16162697</v>
      </c>
      <c r="E3" s="62">
        <v>0.5437352245862884</v>
      </c>
      <c r="F3" s="61"/>
      <c r="G3" s="62">
        <v>92.08875939473431</v>
      </c>
      <c r="H3" s="62">
        <v>0.516431924882629</v>
      </c>
      <c r="I3" s="61"/>
      <c r="J3" s="62">
        <v>92.08875939473431</v>
      </c>
      <c r="K3" s="62">
        <v>0.516431924882629</v>
      </c>
      <c r="L3" s="61"/>
      <c r="M3" s="61">
        <v>31.16706014679783</v>
      </c>
      <c r="N3" s="61">
        <v>0.37825059101654845</v>
      </c>
      <c r="O3" s="61"/>
      <c r="P3" s="63">
        <v>30.77868935824982</v>
      </c>
      <c r="Q3" s="61">
        <v>0.3051643192488263</v>
      </c>
      <c r="R3" s="61"/>
      <c r="S3" s="61">
        <v>30.77868935824982</v>
      </c>
      <c r="T3" s="61">
        <v>0.3286384976525822</v>
      </c>
    </row>
    <row r="4">
      <c r="A4" s="33">
        <f>136703818.780716/1000000</f>
        <v>136.7038188</v>
      </c>
      <c r="B4" s="33">
        <v>0.9101654846335697</v>
      </c>
      <c r="C4" s="61"/>
      <c r="D4" s="62">
        <v>135.29837597231497</v>
      </c>
      <c r="E4" s="62">
        <v>0.7919621749408984</v>
      </c>
      <c r="F4" s="61"/>
      <c r="G4" s="62">
        <v>138.18569217056674</v>
      </c>
      <c r="H4" s="62">
        <v>0.7511737089201878</v>
      </c>
      <c r="I4" s="61"/>
      <c r="J4" s="62">
        <v>138.18569217056674</v>
      </c>
      <c r="K4" s="62">
        <v>0.7511737089201878</v>
      </c>
      <c r="L4" s="61"/>
      <c r="M4" s="61">
        <v>46.768376592477054</v>
      </c>
      <c r="N4" s="61">
        <v>0.5673758865248227</v>
      </c>
      <c r="O4" s="61"/>
      <c r="P4" s="63">
        <v>46.18559877478171</v>
      </c>
      <c r="Q4" s="61">
        <v>0.46948356807511743</v>
      </c>
      <c r="R4" s="61"/>
      <c r="S4" s="61">
        <v>46.18559877478171</v>
      </c>
      <c r="T4" s="61">
        <v>0.4929577464788732</v>
      </c>
    </row>
    <row r="5">
      <c r="A5" s="33">
        <f>182208937.715585/1000000</f>
        <v>182.2089377</v>
      </c>
      <c r="B5" s="33">
        <v>1.0874704491725768</v>
      </c>
      <c r="C5" s="61"/>
      <c r="D5" s="62">
        <v>180.3348268039553</v>
      </c>
      <c r="E5" s="62">
        <v>1.0874704491725768</v>
      </c>
      <c r="F5" s="61"/>
      <c r="G5" s="62">
        <v>184.1840879242768</v>
      </c>
      <c r="H5" s="62">
        <v>1.1267605633802817</v>
      </c>
      <c r="I5" s="61"/>
      <c r="J5" s="62">
        <v>184.1840879242768</v>
      </c>
      <c r="K5" s="62">
        <v>1.032863849765258</v>
      </c>
      <c r="L5" s="61"/>
      <c r="M5" s="61">
        <v>62.3363435901307</v>
      </c>
      <c r="N5" s="61">
        <v>0.7565011820330969</v>
      </c>
      <c r="O5" s="61"/>
      <c r="P5" s="63">
        <v>61.55957430867553</v>
      </c>
      <c r="Q5" s="61">
        <v>0.6572769953051644</v>
      </c>
      <c r="R5" s="61"/>
      <c r="S5" s="61">
        <v>61.55957430867553</v>
      </c>
      <c r="T5" s="61">
        <v>0.6572769953051644</v>
      </c>
    </row>
    <row r="6">
      <c r="A6" s="33">
        <f>227681563.206297/1000000</f>
        <v>227.6815632</v>
      </c>
      <c r="B6" s="33">
        <v>1.359338061465721</v>
      </c>
      <c r="C6" s="61"/>
      <c r="D6" s="62">
        <v>225.34427428168215</v>
      </c>
      <c r="E6" s="62">
        <v>1.4184397163120566</v>
      </c>
      <c r="F6" s="61"/>
      <c r="G6" s="62">
        <v>230.14963800394597</v>
      </c>
      <c r="H6" s="62">
        <v>1.384976525821596</v>
      </c>
      <c r="I6" s="61"/>
      <c r="J6" s="62">
        <v>230.14963800394597</v>
      </c>
      <c r="K6" s="62">
        <v>1.291079812206573</v>
      </c>
      <c r="L6" s="61"/>
      <c r="M6" s="61">
        <v>77.89319410510915</v>
      </c>
      <c r="N6" s="61">
        <v>0.9456264775413712</v>
      </c>
      <c r="O6" s="61"/>
      <c r="P6" s="63">
        <v>76.92257188168996</v>
      </c>
      <c r="Q6" s="61">
        <v>0.8215962441314554</v>
      </c>
      <c r="R6" s="61"/>
      <c r="S6" s="61">
        <v>76.92257188168996</v>
      </c>
      <c r="T6" s="61">
        <v>0.8450704225352113</v>
      </c>
    </row>
    <row r="7">
      <c r="A7" s="33">
        <f>231084276.678391/1000000</f>
        <v>231.0842767</v>
      </c>
      <c r="B7" s="33">
        <v>1.3947990543735223</v>
      </c>
      <c r="C7" s="61"/>
      <c r="D7" s="62">
        <v>228.7222652688544</v>
      </c>
      <c r="E7" s="62">
        <v>1.5839243498817968</v>
      </c>
      <c r="F7" s="61"/>
      <c r="G7" s="62">
        <v>236.7292834278008</v>
      </c>
      <c r="H7" s="62">
        <v>1.431924882629108</v>
      </c>
      <c r="I7" s="61"/>
      <c r="J7" s="62">
        <v>236.7292834278008</v>
      </c>
      <c r="K7" s="62">
        <v>1.3145539906103287</v>
      </c>
      <c r="L7" s="61"/>
      <c r="M7" s="61">
        <v>79.05731217085584</v>
      </c>
      <c r="N7" s="61">
        <v>0.9574468085106383</v>
      </c>
      <c r="O7" s="61"/>
      <c r="P7" s="63">
        <v>79.12167700504378</v>
      </c>
      <c r="Q7" s="61">
        <v>0.8450704225352113</v>
      </c>
      <c r="R7" s="61"/>
      <c r="S7" s="61">
        <v>79.12167700504378</v>
      </c>
      <c r="T7" s="61">
        <v>0.8685446009389671</v>
      </c>
    </row>
  </sheetData>
  <drawing r:id="rId1"/>
</worksheet>
</file>